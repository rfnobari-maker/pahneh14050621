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5200" windowHeight="11985" tabRatio="793" activeTab="11"/>
  </bookViews>
  <sheets>
    <sheet name="سیب زمینی" sheetId="52" r:id="rId1"/>
    <sheet name="پیاز" sheetId="53" r:id="rId2"/>
    <sheet name="گوجه فرنگی " sheetId="64" r:id="rId3"/>
    <sheet name="خیار" sheetId="60" r:id="rId4"/>
    <sheet name="هندوانه" sheetId="61" r:id="rId5"/>
    <sheet name="خربزه" sheetId="62" r:id="rId6"/>
    <sheet name="سایر جالیز" sheetId="63" r:id="rId7"/>
    <sheet name="هویج" sheetId="58" r:id="rId8"/>
    <sheet name="سیر تر" sheetId="56" r:id="rId9"/>
    <sheet name="سیر خشک" sheetId="57" r:id="rId10"/>
    <sheet name="بادمجان" sheetId="54" r:id="rId11"/>
    <sheet name="سایر سبزی" sheetId="55" r:id="rId12"/>
  </sheets>
  <calcPr calcId="152511"/>
</workbook>
</file>

<file path=xl/calcChain.xml><?xml version="1.0" encoding="utf-8"?>
<calcChain xmlns="http://schemas.openxmlformats.org/spreadsheetml/2006/main">
  <c r="I12" i="58" l="1"/>
  <c r="H9" i="58"/>
  <c r="G12" i="58"/>
  <c r="H12" i="58" s="1"/>
  <c r="F12" i="58"/>
  <c r="E10" i="58"/>
  <c r="D12" i="58"/>
  <c r="E12" i="58" s="1"/>
  <c r="C12" i="58"/>
  <c r="J12" i="58"/>
  <c r="K12" i="58" s="1"/>
  <c r="L7" i="62" l="1"/>
  <c r="M7" i="62"/>
  <c r="L8" i="62"/>
  <c r="M8" i="62"/>
  <c r="L9" i="62"/>
  <c r="M9" i="62"/>
  <c r="L10" i="62"/>
  <c r="M10" i="62"/>
  <c r="L11" i="62"/>
  <c r="M11" i="62"/>
  <c r="L12" i="62"/>
  <c r="M12" i="62"/>
  <c r="L13" i="62"/>
  <c r="M13" i="62"/>
  <c r="M6" i="62"/>
  <c r="L6" i="62"/>
  <c r="L14" i="62" s="1"/>
  <c r="K16" i="55"/>
  <c r="J16" i="55"/>
  <c r="I16" i="55"/>
  <c r="G16" i="55"/>
  <c r="F16" i="55"/>
  <c r="D16" i="55"/>
  <c r="C16" i="55"/>
  <c r="E16" i="55" s="1"/>
  <c r="L11" i="54"/>
  <c r="L6" i="54"/>
  <c r="H11" i="54"/>
  <c r="G15" i="54"/>
  <c r="F15" i="54"/>
  <c r="D15" i="54"/>
  <c r="C15" i="54"/>
  <c r="J7" i="56"/>
  <c r="J8" i="56"/>
  <c r="J9" i="56"/>
  <c r="J10" i="56"/>
  <c r="J11" i="56"/>
  <c r="J12" i="56"/>
  <c r="J13" i="56"/>
  <c r="I7" i="56"/>
  <c r="I8" i="56"/>
  <c r="I9" i="56"/>
  <c r="I10" i="56"/>
  <c r="I11" i="56"/>
  <c r="I12" i="56"/>
  <c r="I13" i="56"/>
  <c r="J6" i="56"/>
  <c r="I6" i="56"/>
  <c r="I14" i="56" s="1"/>
  <c r="H7" i="56"/>
  <c r="H8" i="56"/>
  <c r="H9" i="56"/>
  <c r="H10" i="56"/>
  <c r="H12" i="56"/>
  <c r="H13" i="56"/>
  <c r="H14" i="56"/>
  <c r="H6" i="56"/>
  <c r="G14" i="56"/>
  <c r="F14" i="56"/>
  <c r="E7" i="56"/>
  <c r="E9" i="56"/>
  <c r="E11" i="56"/>
  <c r="E6" i="56"/>
  <c r="D14" i="56"/>
  <c r="C14" i="56"/>
  <c r="K7" i="56"/>
  <c r="K8" i="56"/>
  <c r="K9" i="56"/>
  <c r="K6" i="56"/>
  <c r="M7" i="61"/>
  <c r="M8" i="61"/>
  <c r="M9" i="61"/>
  <c r="M10" i="61"/>
  <c r="M11" i="61"/>
  <c r="M12" i="61"/>
  <c r="M13" i="61"/>
  <c r="M14" i="61"/>
  <c r="N7" i="62"/>
  <c r="K7" i="62"/>
  <c r="K8" i="62"/>
  <c r="K9" i="62"/>
  <c r="K10" i="62"/>
  <c r="K11" i="62"/>
  <c r="K12" i="62"/>
  <c r="K13" i="62"/>
  <c r="K6" i="62"/>
  <c r="J14" i="62"/>
  <c r="K14" i="62" s="1"/>
  <c r="I14" i="62"/>
  <c r="H10" i="62"/>
  <c r="G14" i="62"/>
  <c r="F14" i="62"/>
  <c r="E6" i="62"/>
  <c r="E9" i="62"/>
  <c r="E11" i="62"/>
  <c r="D14" i="62"/>
  <c r="C14" i="62"/>
  <c r="N8" i="62"/>
  <c r="N9" i="62"/>
  <c r="N10" i="62"/>
  <c r="L11" i="61"/>
  <c r="L6" i="61"/>
  <c r="J15" i="61"/>
  <c r="K15" i="61" s="1"/>
  <c r="I15" i="61"/>
  <c r="G15" i="61"/>
  <c r="F15" i="61"/>
  <c r="E7" i="61"/>
  <c r="E9" i="61"/>
  <c r="E11" i="61"/>
  <c r="E12" i="61"/>
  <c r="E6" i="61"/>
  <c r="D15" i="61"/>
  <c r="E15" i="61" s="1"/>
  <c r="C15" i="61"/>
  <c r="K13" i="60"/>
  <c r="M13" i="60"/>
  <c r="M6" i="60"/>
  <c r="L6" i="60"/>
  <c r="E7" i="60"/>
  <c r="E8" i="60"/>
  <c r="E9" i="60"/>
  <c r="E11" i="60"/>
  <c r="E12" i="60"/>
  <c r="E13" i="60"/>
  <c r="D14" i="60"/>
  <c r="E14" i="60" s="1"/>
  <c r="C14" i="60"/>
  <c r="K7" i="64"/>
  <c r="K8" i="64"/>
  <c r="K9" i="64"/>
  <c r="K10" i="64"/>
  <c r="K11" i="64"/>
  <c r="K12" i="64"/>
  <c r="K13" i="64"/>
  <c r="K14" i="64"/>
  <c r="K6" i="64"/>
  <c r="H8" i="64"/>
  <c r="H10" i="64"/>
  <c r="H11" i="64"/>
  <c r="H12" i="64"/>
  <c r="H14" i="64"/>
  <c r="H7" i="64"/>
  <c r="J14" i="64"/>
  <c r="I14" i="64"/>
  <c r="G14" i="64"/>
  <c r="F14" i="64"/>
  <c r="D14" i="64"/>
  <c r="C14" i="64"/>
  <c r="E6" i="64"/>
  <c r="E7" i="64"/>
  <c r="E9" i="64"/>
  <c r="E10" i="64"/>
  <c r="E11" i="64"/>
  <c r="E12" i="64"/>
  <c r="E13" i="64"/>
  <c r="E14" i="64"/>
  <c r="L7" i="64"/>
  <c r="M7" i="64"/>
  <c r="L8" i="64"/>
  <c r="M8" i="64"/>
  <c r="L9" i="64"/>
  <c r="M9" i="64"/>
  <c r="N9" i="64" s="1"/>
  <c r="L10" i="64"/>
  <c r="M10" i="64"/>
  <c r="N10" i="64" s="1"/>
  <c r="L11" i="64"/>
  <c r="M11" i="64"/>
  <c r="N11" i="64" s="1"/>
  <c r="L12" i="64"/>
  <c r="M12" i="64"/>
  <c r="N12" i="64" s="1"/>
  <c r="L13" i="64"/>
  <c r="M13" i="64"/>
  <c r="N13" i="64" s="1"/>
  <c r="M6" i="64"/>
  <c r="L6" i="64"/>
  <c r="N7" i="64"/>
  <c r="E8" i="53"/>
  <c r="E10" i="53"/>
  <c r="E11" i="53"/>
  <c r="E12" i="53"/>
  <c r="E13" i="53"/>
  <c r="H7" i="53"/>
  <c r="H8" i="53"/>
  <c r="H9" i="53"/>
  <c r="H10" i="53"/>
  <c r="H11" i="53"/>
  <c r="H12" i="53"/>
  <c r="H13" i="53"/>
  <c r="H6" i="53"/>
  <c r="J7" i="53"/>
  <c r="K7" i="53" s="1"/>
  <c r="J8" i="53"/>
  <c r="J9" i="53"/>
  <c r="K9" i="53" s="1"/>
  <c r="J10" i="53"/>
  <c r="K10" i="53" s="1"/>
  <c r="J11" i="53"/>
  <c r="K11" i="53" s="1"/>
  <c r="J12" i="53"/>
  <c r="K12" i="53" s="1"/>
  <c r="I7" i="53"/>
  <c r="I8" i="53"/>
  <c r="I9" i="53"/>
  <c r="I10" i="53"/>
  <c r="I11" i="53"/>
  <c r="I12" i="53"/>
  <c r="J6" i="53"/>
  <c r="I6" i="53"/>
  <c r="K6" i="53" s="1"/>
  <c r="K8" i="53"/>
  <c r="H13" i="52"/>
  <c r="H9" i="52"/>
  <c r="H6" i="52"/>
  <c r="K7" i="52"/>
  <c r="J15" i="52"/>
  <c r="I7" i="52"/>
  <c r="I8" i="52"/>
  <c r="I9" i="52"/>
  <c r="I10" i="52"/>
  <c r="I11" i="52"/>
  <c r="I12" i="52"/>
  <c r="I13" i="52"/>
  <c r="I14" i="52"/>
  <c r="I15" i="52" s="1"/>
  <c r="I6" i="52"/>
  <c r="H7" i="52"/>
  <c r="H8" i="52"/>
  <c r="H10" i="52"/>
  <c r="H11" i="52"/>
  <c r="H12" i="52"/>
  <c r="H14" i="52"/>
  <c r="H15" i="52"/>
  <c r="G15" i="52"/>
  <c r="F15" i="52"/>
  <c r="E9" i="52"/>
  <c r="D15" i="52"/>
  <c r="C15" i="52"/>
  <c r="H16" i="55" l="1"/>
  <c r="H15" i="54"/>
  <c r="E15" i="54"/>
  <c r="K11" i="56"/>
  <c r="K13" i="56"/>
  <c r="K12" i="56"/>
  <c r="K10" i="56"/>
  <c r="J14" i="56"/>
  <c r="K14" i="56" s="1"/>
  <c r="E14" i="56"/>
  <c r="N11" i="62"/>
  <c r="N6" i="62"/>
  <c r="H14" i="62"/>
  <c r="N13" i="62"/>
  <c r="N12" i="62"/>
  <c r="E14" i="62"/>
  <c r="N11" i="61"/>
  <c r="H15" i="61"/>
  <c r="M14" i="64"/>
  <c r="N6" i="64"/>
  <c r="L14" i="64"/>
  <c r="N8" i="64"/>
  <c r="J13" i="53"/>
  <c r="I13" i="53"/>
  <c r="E15" i="52"/>
  <c r="M14" i="62"/>
  <c r="N14" i="62" s="1"/>
  <c r="N14" i="64"/>
  <c r="K13" i="53"/>
  <c r="E7" i="52"/>
  <c r="E10" i="52"/>
  <c r="E12" i="52"/>
  <c r="K15" i="52"/>
  <c r="K6" i="52"/>
  <c r="K8" i="52"/>
  <c r="K9" i="52"/>
  <c r="K10" i="52"/>
  <c r="K11" i="52"/>
  <c r="K12" i="52"/>
  <c r="K13" i="52"/>
  <c r="K14" i="52"/>
  <c r="H13" i="57"/>
  <c r="G13" i="57"/>
  <c r="F13" i="57"/>
  <c r="M11" i="54"/>
  <c r="M7" i="54"/>
  <c r="L7" i="54"/>
  <c r="H7" i="54"/>
  <c r="E9" i="54"/>
  <c r="J15" i="54"/>
  <c r="I15" i="54"/>
  <c r="K10" i="55"/>
  <c r="H6" i="55"/>
  <c r="H10" i="55"/>
  <c r="E9" i="55"/>
  <c r="L10" i="55"/>
  <c r="K15" i="54" l="1"/>
  <c r="N7" i="54"/>
  <c r="N11" i="54"/>
  <c r="M8" i="54"/>
  <c r="M9" i="54"/>
  <c r="M10" i="54"/>
  <c r="M12" i="54"/>
  <c r="M13" i="54"/>
  <c r="M14" i="54"/>
  <c r="L8" i="54"/>
  <c r="L9" i="54"/>
  <c r="L10" i="54"/>
  <c r="N10" i="54" s="1"/>
  <c r="L12" i="54"/>
  <c r="N12" i="54" s="1"/>
  <c r="L13" i="54"/>
  <c r="N13" i="54" s="1"/>
  <c r="L14" i="54"/>
  <c r="M6" i="54"/>
  <c r="K8" i="54"/>
  <c r="K9" i="54"/>
  <c r="K10" i="54"/>
  <c r="K11" i="54"/>
  <c r="K12" i="54"/>
  <c r="K14" i="54"/>
  <c r="K6" i="54"/>
  <c r="H9" i="54"/>
  <c r="H10" i="54"/>
  <c r="H13" i="54"/>
  <c r="K9" i="57"/>
  <c r="H7" i="57"/>
  <c r="H12" i="57"/>
  <c r="K10" i="57"/>
  <c r="K11" i="57"/>
  <c r="K12" i="57"/>
  <c r="I7" i="57"/>
  <c r="J7" i="57"/>
  <c r="I8" i="57"/>
  <c r="J8" i="57"/>
  <c r="I9" i="57"/>
  <c r="J9" i="57"/>
  <c r="I10" i="57"/>
  <c r="J10" i="57"/>
  <c r="I11" i="57"/>
  <c r="J11" i="57"/>
  <c r="I12" i="57"/>
  <c r="J12" i="57"/>
  <c r="J6" i="57"/>
  <c r="I6" i="57"/>
  <c r="H8" i="57"/>
  <c r="H9" i="57"/>
  <c r="H10" i="57"/>
  <c r="H11" i="57"/>
  <c r="H6" i="57"/>
  <c r="K9" i="60"/>
  <c r="N12" i="60"/>
  <c r="L7" i="60"/>
  <c r="M7" i="60"/>
  <c r="N7" i="60" s="1"/>
  <c r="L8" i="60"/>
  <c r="M8" i="60"/>
  <c r="L9" i="60"/>
  <c r="M9" i="60"/>
  <c r="L10" i="60"/>
  <c r="M10" i="60"/>
  <c r="L11" i="60"/>
  <c r="N11" i="60" s="1"/>
  <c r="M11" i="60"/>
  <c r="L12" i="60"/>
  <c r="M12" i="60"/>
  <c r="L13" i="60"/>
  <c r="N13" i="60"/>
  <c r="K6" i="60"/>
  <c r="K7" i="60"/>
  <c r="K10" i="60"/>
  <c r="K11" i="60"/>
  <c r="I14" i="60"/>
  <c r="J14" i="60"/>
  <c r="F14" i="60"/>
  <c r="H8" i="60"/>
  <c r="H10" i="60"/>
  <c r="H11" i="60"/>
  <c r="G14" i="60"/>
  <c r="E6" i="60"/>
  <c r="N10" i="60" l="1"/>
  <c r="N9" i="60"/>
  <c r="L14" i="60"/>
  <c r="N8" i="54"/>
  <c r="N14" i="54"/>
  <c r="L15" i="54"/>
  <c r="M15" i="54"/>
  <c r="N6" i="54"/>
  <c r="I13" i="57"/>
  <c r="J13" i="57"/>
  <c r="K13" i="57"/>
  <c r="K6" i="57"/>
  <c r="N9" i="54"/>
  <c r="K8" i="57"/>
  <c r="K7" i="57"/>
  <c r="N8" i="60"/>
  <c r="M14" i="60"/>
  <c r="N6" i="60"/>
  <c r="K14" i="60"/>
  <c r="H14" i="60"/>
  <c r="L7" i="58"/>
  <c r="M7" i="58"/>
  <c r="L8" i="58"/>
  <c r="M8" i="58"/>
  <c r="L9" i="58"/>
  <c r="M9" i="58"/>
  <c r="N9" i="58" s="1"/>
  <c r="L10" i="58"/>
  <c r="M10" i="58"/>
  <c r="L11" i="58"/>
  <c r="M11" i="58"/>
  <c r="M6" i="58"/>
  <c r="L6" i="58"/>
  <c r="N14" i="60" l="1"/>
  <c r="N15" i="54"/>
  <c r="L12" i="58"/>
  <c r="M12" i="58"/>
  <c r="N12" i="58" s="1"/>
  <c r="H9" i="55"/>
  <c r="M7" i="55"/>
  <c r="M8" i="55"/>
  <c r="N8" i="55" s="1"/>
  <c r="M9" i="55"/>
  <c r="M10" i="55"/>
  <c r="N10" i="55" s="1"/>
  <c r="M11" i="55"/>
  <c r="N11" i="55" s="1"/>
  <c r="M12" i="55"/>
  <c r="N12" i="55" s="1"/>
  <c r="M13" i="55"/>
  <c r="N13" i="55" s="1"/>
  <c r="M14" i="55"/>
  <c r="M15" i="55"/>
  <c r="N15" i="55" s="1"/>
  <c r="M6" i="55"/>
  <c r="M16" i="55" s="1"/>
  <c r="L7" i="55"/>
  <c r="N7" i="55" s="1"/>
  <c r="L8" i="55"/>
  <c r="L9" i="55"/>
  <c r="N9" i="55" s="1"/>
  <c r="L11" i="55"/>
  <c r="L12" i="55"/>
  <c r="L13" i="55"/>
  <c r="L14" i="55"/>
  <c r="L15" i="55"/>
  <c r="L6" i="55"/>
  <c r="K7" i="55"/>
  <c r="K8" i="55"/>
  <c r="K9" i="55"/>
  <c r="K11" i="55"/>
  <c r="K12" i="55"/>
  <c r="K13" i="55"/>
  <c r="K14" i="55"/>
  <c r="K15" i="55"/>
  <c r="K6" i="55"/>
  <c r="H7" i="55"/>
  <c r="H8" i="55"/>
  <c r="H11" i="55"/>
  <c r="H13" i="55"/>
  <c r="H14" i="55"/>
  <c r="L16" i="55" l="1"/>
  <c r="N16" i="55" s="1"/>
  <c r="N6" i="55"/>
  <c r="N14" i="55"/>
  <c r="N8" i="58" l="1"/>
  <c r="N10" i="58"/>
  <c r="N11" i="58"/>
  <c r="K6" i="58"/>
  <c r="K8" i="58"/>
  <c r="K9" i="58"/>
  <c r="K10" i="58"/>
  <c r="K11" i="58"/>
  <c r="H11" i="58"/>
  <c r="H7" i="58"/>
  <c r="N7" i="58"/>
  <c r="N6" i="58"/>
  <c r="J14" i="63" l="1"/>
  <c r="I14" i="63"/>
  <c r="H7" i="63"/>
  <c r="H10" i="63"/>
  <c r="H11" i="63"/>
  <c r="G14" i="63"/>
  <c r="H14" i="63" s="1"/>
  <c r="F14" i="63"/>
  <c r="D14" i="63"/>
  <c r="C14" i="63"/>
  <c r="K6" i="63"/>
  <c r="K7" i="63"/>
  <c r="K8" i="63"/>
  <c r="K9" i="63"/>
  <c r="K10" i="63"/>
  <c r="K11" i="63"/>
  <c r="K12" i="63"/>
  <c r="K13" i="63"/>
  <c r="K14" i="63"/>
  <c r="L7" i="63"/>
  <c r="L8" i="63"/>
  <c r="L9" i="63"/>
  <c r="L10" i="63"/>
  <c r="L11" i="63"/>
  <c r="L12" i="63"/>
  <c r="L13" i="63"/>
  <c r="N13" i="63" s="1"/>
  <c r="M7" i="63"/>
  <c r="M8" i="63"/>
  <c r="N8" i="63" s="1"/>
  <c r="M9" i="63"/>
  <c r="M10" i="63"/>
  <c r="M11" i="63"/>
  <c r="N11" i="63" s="1"/>
  <c r="M12" i="63"/>
  <c r="M13" i="63"/>
  <c r="L6" i="63"/>
  <c r="M6" i="63"/>
  <c r="E7" i="63"/>
  <c r="E9" i="63"/>
  <c r="E12" i="63"/>
  <c r="N7" i="63"/>
  <c r="N10" i="63"/>
  <c r="N12" i="63" l="1"/>
  <c r="N9" i="63"/>
  <c r="M14" i="63"/>
  <c r="N6" i="63"/>
  <c r="E14" i="63"/>
  <c r="L14" i="63"/>
  <c r="N14" i="63" s="1"/>
  <c r="N12" i="61" l="1"/>
  <c r="K6" i="61"/>
  <c r="K7" i="61"/>
  <c r="K8" i="61"/>
  <c r="K9" i="61"/>
  <c r="K10" i="61"/>
  <c r="K11" i="61"/>
  <c r="K12" i="61"/>
  <c r="K13" i="61"/>
  <c r="K14" i="61"/>
  <c r="H10" i="61"/>
  <c r="H12" i="61"/>
  <c r="M6" i="61"/>
  <c r="M15" i="61" s="1"/>
  <c r="L7" i="61"/>
  <c r="L8" i="61"/>
  <c r="N8" i="61" s="1"/>
  <c r="L9" i="61"/>
  <c r="N9" i="61" s="1"/>
  <c r="L10" i="61"/>
  <c r="N10" i="61" s="1"/>
  <c r="L12" i="61"/>
  <c r="L13" i="61"/>
  <c r="N13" i="61" s="1"/>
  <c r="L14" i="61"/>
  <c r="N14" i="61" s="1"/>
  <c r="L15" i="61" l="1"/>
  <c r="N7" i="61"/>
  <c r="N6" i="61"/>
  <c r="N15" i="61"/>
</calcChain>
</file>

<file path=xl/sharedStrings.xml><?xml version="1.0" encoding="utf-8"?>
<sst xmlns="http://schemas.openxmlformats.org/spreadsheetml/2006/main" count="328" uniqueCount="46">
  <si>
    <t>سطح</t>
  </si>
  <si>
    <t xml:space="preserve">جمع </t>
  </si>
  <si>
    <t>استان</t>
  </si>
  <si>
    <t>فارس</t>
  </si>
  <si>
    <t>كرمانشاه</t>
  </si>
  <si>
    <t>گلستان</t>
  </si>
  <si>
    <t>ایلام</t>
  </si>
  <si>
    <t>سیستان و بلوچستان</t>
  </si>
  <si>
    <t>واحد : سطح (هكتار) - توليد (تن) - عملكرد (تن در هكتار)</t>
  </si>
  <si>
    <t>خوزستان</t>
  </si>
  <si>
    <t>سيستان و بلوچستان</t>
  </si>
  <si>
    <t xml:space="preserve">هرمزگان </t>
  </si>
  <si>
    <t xml:space="preserve">جنوب كرمان </t>
  </si>
  <si>
    <t>جمع كل</t>
  </si>
  <si>
    <t>جنوب کرمان</t>
  </si>
  <si>
    <t>بوشهر</t>
  </si>
  <si>
    <t>هرمزگان</t>
  </si>
  <si>
    <t>کرمانشاه</t>
  </si>
  <si>
    <t xml:space="preserve">فارس </t>
  </si>
  <si>
    <t>.</t>
  </si>
  <si>
    <t xml:space="preserve">بوشهر </t>
  </si>
  <si>
    <t>لرستان</t>
  </si>
  <si>
    <t>تولید</t>
  </si>
  <si>
    <t>عملکرد</t>
  </si>
  <si>
    <t xml:space="preserve">برنامه ابلاغی سطح. توليد و عملكرد پاییزه، زمستانه و بهاره  خربزه براي سال زراعي 1406-1405 </t>
  </si>
  <si>
    <t>برنامه ابلاغی سطح. توليد و عملكرد پاییزه، زمستانه و بهاره  سایر جالیز براي سال زراعي 1406-1405</t>
  </si>
  <si>
    <t>استمرار</t>
  </si>
  <si>
    <t>بهاره</t>
  </si>
  <si>
    <t>پائیزه</t>
  </si>
  <si>
    <t>زمستانه</t>
  </si>
  <si>
    <t>کل</t>
  </si>
  <si>
    <t>کرمان</t>
  </si>
  <si>
    <t xml:space="preserve"> </t>
  </si>
  <si>
    <t xml:space="preserve"> استمرار</t>
  </si>
  <si>
    <t>زمستانه، استمرار</t>
  </si>
  <si>
    <t>استمرار، زمستانه</t>
  </si>
  <si>
    <t>برنامه ابلاغي سطح کشت، توليد و عملكرد طرح استمرار و توليد بهاره سيب زميني براي سال زراعي 1406-1405</t>
  </si>
  <si>
    <t xml:space="preserve"> برنامه ابلاغي سطح کشت، توليد و عملكرد طرح استمرار و توليد بهاره پیاز براي سال زراعي 1406-1405</t>
  </si>
  <si>
    <t>برنامه ابلاغی سطح کشت، توليد و عملكرد پاییزه، زمستانه و بهاره گوجه فرنگی براي سال زراعي 1406-1405</t>
  </si>
  <si>
    <t xml:space="preserve">برنامه ابلاغی سطح کشت، توليد و عملكرد پاییزه، زمستانه و بهاره  خیار براي سال زراعي 1406-1405 </t>
  </si>
  <si>
    <t>برنامه ابلاغی سطح کشت، توليد و عملكرد پاییزه، زمستانه و بهاره  هندوانه براي سال زراعي 1406-1405</t>
  </si>
  <si>
    <t xml:space="preserve"> برنامه ابلاغي سطح. توليد و عملكرد طرح استمرار و توليد بهاره هویج براي سال زراعي 1406-1405</t>
  </si>
  <si>
    <t xml:space="preserve"> برنامه ابلاغي سطح. توليد و عملكرد طرح استمرار و توليد بهاره سیر تر براي سال زراعي 1406-1405</t>
  </si>
  <si>
    <t xml:space="preserve"> برنامه ابلاغي سطح. توليد و عملكرد طرح استمرار و توليد بهاره سیر خشک براي سال زراعي 1406-1405</t>
  </si>
  <si>
    <t xml:space="preserve"> برنامه ابلاغي سطح. توليد و عملكرد طرح استمرار و توليد بهاره بادمجان براي سال زراعي 1406-1405</t>
  </si>
  <si>
    <t xml:space="preserve"> برنامه ابلاغي سطح. توليد و عملكرد طرح استمرار و توليد بهاره سایر سبزی براي سال زراعي 1406-1405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</si>
</sst>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0"/>
      <name val="B Zar"/>
      <charset val="178"/>
    </font>
    <font>
      <b/>
      <sz val="9"/>
      <name val="B Zar"/>
      <charset val="178"/>
    </font>
    <font>
      <sz val="9"/>
      <name val="B Zar"/>
      <charset val="178"/>
    </font>
    <font>
      <sz val="9"/>
      <name val="Calibri"/>
      <family val="2"/>
      <scheme val="minor"/>
    </font>
    <font>
      <sz val="8"/>
      <color theme="1"/>
      <name val="B Zar"/>
      <charset val="178"/>
    </font>
    <font>
      <b/>
      <sz val="14"/>
      <name val="B Zar"/>
      <charset val="178"/>
    </font>
    <font>
      <sz val="11"/>
      <color theme="1"/>
      <name val="B Zar"/>
      <charset val="178"/>
    </font>
    <font>
      <b/>
      <sz val="12"/>
      <name val="B Zar"/>
      <charset val="178"/>
    </font>
    <font>
      <b/>
      <sz val="16"/>
      <name val="B Zar"/>
      <charset val="178"/>
    </font>
    <font>
      <b/>
      <sz val="18"/>
      <name val="B Zar"/>
      <charset val="178"/>
    </font>
    <font>
      <b/>
      <sz val="12"/>
      <color theme="1"/>
      <name val="B Zar"/>
      <charset val="178"/>
    </font>
    <font>
      <b/>
      <sz val="14"/>
      <color theme="1"/>
      <name val="B Zar"/>
      <charset val="178"/>
    </font>
    <font>
      <b/>
      <sz val="18"/>
      <name val="B Nazanin"/>
      <charset val="178"/>
    </font>
    <font>
      <b/>
      <sz val="18"/>
      <color theme="1"/>
      <name val="B Zar"/>
      <charset val="178"/>
    </font>
    <font>
      <sz val="10"/>
      <color theme="1"/>
      <name val="Calibri"/>
      <family val="2"/>
      <charset val="178"/>
      <scheme val="minor"/>
    </font>
    <font>
      <b/>
      <sz val="10"/>
      <color theme="1"/>
      <name val="B Zar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medium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rgb="FFFF0000"/>
      </right>
      <top style="thick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thick">
        <color rgb="FFFF0000"/>
      </bottom>
      <diagonal/>
    </border>
    <border>
      <left style="thick">
        <color rgb="FFFF0000"/>
      </left>
      <right style="medium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rgb="FFFF0000"/>
      </left>
      <right style="medium">
        <color rgb="FFFF0000"/>
      </right>
      <top/>
      <bottom style="thick">
        <color rgb="FFFF0000"/>
      </bottom>
      <diagonal/>
    </border>
    <border>
      <left style="thick">
        <color rgb="FFFF0000"/>
      </left>
      <right style="medium">
        <color rgb="FFFF0000"/>
      </right>
      <top/>
      <bottom/>
      <diagonal/>
    </border>
    <border>
      <left style="thick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18">
    <xf numFmtId="0" fontId="0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14" fillId="0" borderId="0"/>
    <xf numFmtId="0" fontId="5" fillId="0" borderId="0"/>
  </cellStyleXfs>
  <cellXfs count="116">
    <xf numFmtId="0" fontId="0" fillId="0" borderId="0" xfId="0"/>
    <xf numFmtId="0" fontId="9" fillId="0" borderId="0" xfId="13"/>
    <xf numFmtId="0" fontId="18" fillId="2" borderId="3" xfId="1" applyFont="1" applyFill="1" applyBorder="1" applyAlignment="1">
      <alignment horizontal="center" vertical="center" wrapText="1" readingOrder="2"/>
    </xf>
    <xf numFmtId="1" fontId="18" fillId="2" borderId="3" xfId="1" applyNumberFormat="1" applyFont="1" applyFill="1" applyBorder="1" applyAlignment="1">
      <alignment horizontal="center" vertical="center" wrapText="1" readingOrder="2"/>
    </xf>
    <xf numFmtId="0" fontId="6" fillId="0" borderId="0" xfId="13" applyFont="1"/>
    <xf numFmtId="0" fontId="19" fillId="2" borderId="2" xfId="1" applyFont="1" applyFill="1" applyBorder="1" applyAlignment="1">
      <alignment horizontal="center" vertical="center" wrapText="1" readingOrder="2"/>
    </xf>
    <xf numFmtId="0" fontId="19" fillId="2" borderId="3" xfId="1" applyFont="1" applyFill="1" applyBorder="1" applyAlignment="1">
      <alignment horizontal="center" vertical="center" wrapText="1" readingOrder="2"/>
    </xf>
    <xf numFmtId="0" fontId="19" fillId="0" borderId="0" xfId="1" applyFont="1" applyBorder="1" applyAlignment="1">
      <alignment horizontal="center" vertical="top" wrapText="1" readingOrder="2"/>
    </xf>
    <xf numFmtId="0" fontId="19" fillId="2" borderId="0" xfId="1" applyFont="1" applyFill="1" applyBorder="1" applyAlignment="1">
      <alignment horizontal="center" vertical="top" wrapText="1" readingOrder="1"/>
    </xf>
    <xf numFmtId="164" fontId="19" fillId="2" borderId="0" xfId="0" applyNumberFormat="1" applyFont="1" applyFill="1" applyBorder="1" applyAlignment="1">
      <alignment horizontal="center" vertical="top" wrapText="1" readingOrder="1"/>
    </xf>
    <xf numFmtId="164" fontId="19" fillId="2" borderId="0" xfId="1" applyNumberFormat="1" applyFont="1" applyFill="1" applyBorder="1" applyAlignment="1">
      <alignment horizontal="center" vertical="top" wrapText="1" readingOrder="1"/>
    </xf>
    <xf numFmtId="0" fontId="21" fillId="0" borderId="0" xfId="0" applyFont="1" applyAlignment="1">
      <alignment vertical="top"/>
    </xf>
    <xf numFmtId="0" fontId="19" fillId="2" borderId="0" xfId="1" applyFont="1" applyFill="1" applyBorder="1" applyAlignment="1">
      <alignment horizontal="center" vertical="center" wrapText="1" readingOrder="2"/>
    </xf>
    <xf numFmtId="0" fontId="19" fillId="2" borderId="0" xfId="1" applyFont="1" applyFill="1" applyBorder="1" applyAlignment="1">
      <alignment horizontal="center" vertical="center" wrapText="1" readingOrder="1"/>
    </xf>
    <xf numFmtId="164" fontId="19" fillId="2" borderId="0" xfId="1" applyNumberFormat="1" applyFont="1" applyFill="1" applyBorder="1" applyAlignment="1">
      <alignment horizontal="center" vertical="center" wrapText="1" readingOrder="2"/>
    </xf>
    <xf numFmtId="0" fontId="24" fillId="0" borderId="0" xfId="13" applyFont="1"/>
    <xf numFmtId="0" fontId="18" fillId="2" borderId="2" xfId="1" applyFont="1" applyFill="1" applyBorder="1" applyAlignment="1">
      <alignment horizontal="center" vertical="center" wrapText="1" readingOrder="2"/>
    </xf>
    <xf numFmtId="0" fontId="4" fillId="0" borderId="0" xfId="17" applyFont="1"/>
    <xf numFmtId="0" fontId="20" fillId="0" borderId="0" xfId="17" applyFont="1" applyBorder="1" applyAlignment="1">
      <alignment horizontal="right" vertical="center" readingOrder="2"/>
    </xf>
    <xf numFmtId="0" fontId="2" fillId="0" borderId="0" xfId="17" applyFont="1"/>
    <xf numFmtId="0" fontId="1" fillId="0" borderId="0" xfId="13" applyFont="1"/>
    <xf numFmtId="0" fontId="18" fillId="3" borderId="6" xfId="1" applyFont="1" applyFill="1" applyBorder="1" applyAlignment="1">
      <alignment horizontal="center" vertical="center" wrapText="1" readingOrder="2"/>
    </xf>
    <xf numFmtId="0" fontId="27" fillId="4" borderId="2" xfId="1" applyFont="1" applyFill="1" applyBorder="1" applyAlignment="1">
      <alignment horizontal="center" vertical="center" wrapText="1" readingOrder="1"/>
    </xf>
    <xf numFmtId="164" fontId="27" fillId="4" borderId="3" xfId="1" applyNumberFormat="1" applyFont="1" applyFill="1" applyBorder="1" applyAlignment="1">
      <alignment horizontal="center" vertical="center" wrapText="1" readingOrder="1"/>
    </xf>
    <xf numFmtId="1" fontId="27" fillId="4" borderId="2" xfId="1" applyNumberFormat="1" applyFont="1" applyFill="1" applyBorder="1" applyAlignment="1">
      <alignment horizontal="center" vertical="center" wrapText="1" readingOrder="1"/>
    </xf>
    <xf numFmtId="0" fontId="27" fillId="4" borderId="3" xfId="1" applyFont="1" applyFill="1" applyBorder="1" applyAlignment="1">
      <alignment horizontal="center" vertical="center" wrapText="1" readingOrder="1"/>
    </xf>
    <xf numFmtId="1" fontId="27" fillId="4" borderId="3" xfId="1" applyNumberFormat="1" applyFont="1" applyFill="1" applyBorder="1" applyAlignment="1">
      <alignment horizontal="center" vertical="center" wrapText="1" readingOrder="1"/>
    </xf>
    <xf numFmtId="0" fontId="27" fillId="2" borderId="3" xfId="1" applyFont="1" applyFill="1" applyBorder="1" applyAlignment="1">
      <alignment horizontal="center" vertical="center" wrapText="1" readingOrder="1"/>
    </xf>
    <xf numFmtId="1" fontId="27" fillId="2" borderId="3" xfId="1" applyNumberFormat="1" applyFont="1" applyFill="1" applyBorder="1" applyAlignment="1">
      <alignment horizontal="center" vertical="center" wrapText="1" readingOrder="1"/>
    </xf>
    <xf numFmtId="164" fontId="27" fillId="4" borderId="2" xfId="1" applyNumberFormat="1" applyFont="1" applyFill="1" applyBorder="1" applyAlignment="1">
      <alignment horizontal="center" vertical="center" wrapText="1" readingOrder="1"/>
    </xf>
    <xf numFmtId="0" fontId="30" fillId="2" borderId="3" xfId="0" applyFont="1" applyFill="1" applyBorder="1" applyAlignment="1">
      <alignment horizontal="center" vertical="center"/>
    </xf>
    <xf numFmtId="164" fontId="30" fillId="2" borderId="3" xfId="0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27" fillId="2" borderId="7" xfId="1" applyFont="1" applyFill="1" applyBorder="1" applyAlignment="1">
      <alignment horizontal="center" vertical="center" wrapText="1" readingOrder="1"/>
    </xf>
    <xf numFmtId="164" fontId="27" fillId="2" borderId="10" xfId="1" applyNumberFormat="1" applyFont="1" applyFill="1" applyBorder="1" applyAlignment="1">
      <alignment horizontal="center" vertical="center" wrapText="1" readingOrder="1"/>
    </xf>
    <xf numFmtId="0" fontId="27" fillId="2" borderId="3" xfId="1" applyFont="1" applyFill="1" applyBorder="1" applyAlignment="1">
      <alignment horizontal="center" vertical="center" wrapText="1" readingOrder="2"/>
    </xf>
    <xf numFmtId="164" fontId="27" fillId="2" borderId="3" xfId="1" applyNumberFormat="1" applyFont="1" applyFill="1" applyBorder="1" applyAlignment="1">
      <alignment horizontal="center" vertical="center" wrapText="1" readingOrder="2"/>
    </xf>
    <xf numFmtId="164" fontId="27" fillId="2" borderId="8" xfId="1" applyNumberFormat="1" applyFont="1" applyFill="1" applyBorder="1" applyAlignment="1">
      <alignment horizontal="center" vertical="center" wrapText="1" readingOrder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2" xfId="1" applyFont="1" applyFill="1" applyBorder="1" applyAlignment="1">
      <alignment horizontal="center" vertical="center" wrapText="1" readingOrder="2"/>
    </xf>
    <xf numFmtId="1" fontId="27" fillId="2" borderId="2" xfId="0" applyNumberFormat="1" applyFont="1" applyFill="1" applyBorder="1" applyAlignment="1">
      <alignment horizontal="center" vertical="center" wrapText="1"/>
    </xf>
    <xf numFmtId="164" fontId="27" fillId="2" borderId="2" xfId="1" applyNumberFormat="1" applyFont="1" applyFill="1" applyBorder="1" applyAlignment="1">
      <alignment horizontal="center" vertical="center" wrapText="1" readingOrder="2"/>
    </xf>
    <xf numFmtId="164" fontId="27" fillId="2" borderId="11" xfId="1" applyNumberFormat="1" applyFont="1" applyFill="1" applyBorder="1" applyAlignment="1">
      <alignment horizontal="center" vertical="center" wrapText="1" readingOrder="1"/>
    </xf>
    <xf numFmtId="164" fontId="27" fillId="2" borderId="6" xfId="1" applyNumberFormat="1" applyFont="1" applyFill="1" applyBorder="1" applyAlignment="1">
      <alignment horizontal="center" vertical="center" wrapText="1" readingOrder="1"/>
    </xf>
    <xf numFmtId="1" fontId="27" fillId="2" borderId="3" xfId="0" applyNumberFormat="1" applyFont="1" applyFill="1" applyBorder="1" applyAlignment="1">
      <alignment horizontal="center" vertical="center" wrapText="1"/>
    </xf>
    <xf numFmtId="164" fontId="27" fillId="2" borderId="9" xfId="1" applyNumberFormat="1" applyFont="1" applyFill="1" applyBorder="1" applyAlignment="1">
      <alignment horizontal="center" vertical="center" wrapText="1" readingOrder="1"/>
    </xf>
    <xf numFmtId="1" fontId="27" fillId="2" borderId="3" xfId="1" applyNumberFormat="1" applyFont="1" applyFill="1" applyBorder="1" applyAlignment="1">
      <alignment horizontal="center" vertical="center" wrapText="1" readingOrder="2"/>
    </xf>
    <xf numFmtId="0" fontId="32" fillId="0" borderId="0" xfId="13" applyFont="1"/>
    <xf numFmtId="0" fontId="25" fillId="3" borderId="6" xfId="1" applyFont="1" applyFill="1" applyBorder="1" applyAlignment="1">
      <alignment horizontal="center" vertical="center" wrapText="1" readingOrder="2"/>
    </xf>
    <xf numFmtId="0" fontId="23" fillId="3" borderId="6" xfId="1" applyFont="1" applyFill="1" applyBorder="1" applyAlignment="1">
      <alignment horizontal="center" vertical="center" wrapText="1" readingOrder="2"/>
    </xf>
    <xf numFmtId="0" fontId="25" fillId="4" borderId="2" xfId="1" applyFont="1" applyFill="1" applyBorder="1" applyAlignment="1">
      <alignment horizontal="center" vertical="center" wrapText="1" readingOrder="2"/>
    </xf>
    <xf numFmtId="0" fontId="25" fillId="4" borderId="3" xfId="1" applyFont="1" applyFill="1" applyBorder="1" applyAlignment="1">
      <alignment horizontal="center" vertical="center" wrapText="1" readingOrder="2"/>
    </xf>
    <xf numFmtId="0" fontId="25" fillId="2" borderId="3" xfId="1" applyFont="1" applyFill="1" applyBorder="1" applyAlignment="1">
      <alignment horizontal="center" vertical="center" wrapText="1" readingOrder="2"/>
    </xf>
    <xf numFmtId="0" fontId="25" fillId="2" borderId="2" xfId="1" applyFont="1" applyFill="1" applyBorder="1" applyAlignment="1">
      <alignment horizontal="center" vertical="center" wrapText="1" readingOrder="2"/>
    </xf>
    <xf numFmtId="164" fontId="30" fillId="2" borderId="2" xfId="0" applyNumberFormat="1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 wrapText="1" readingOrder="2"/>
    </xf>
    <xf numFmtId="0" fontId="30" fillId="2" borderId="1" xfId="0" applyFont="1" applyFill="1" applyBorder="1" applyAlignment="1">
      <alignment horizontal="center" vertical="center"/>
    </xf>
    <xf numFmtId="164" fontId="30" fillId="2" borderId="1" xfId="0" applyNumberFormat="1" applyFont="1" applyFill="1" applyBorder="1" applyAlignment="1">
      <alignment horizontal="center" vertical="center"/>
    </xf>
    <xf numFmtId="0" fontId="27" fillId="2" borderId="12" xfId="1" applyFont="1" applyFill="1" applyBorder="1" applyAlignment="1">
      <alignment horizontal="center" vertical="center" wrapText="1" readingOrder="1"/>
    </xf>
    <xf numFmtId="164" fontId="27" fillId="2" borderId="13" xfId="1" applyNumberFormat="1" applyFont="1" applyFill="1" applyBorder="1" applyAlignment="1">
      <alignment horizontal="center" vertical="center" wrapText="1" readingOrder="1"/>
    </xf>
    <xf numFmtId="0" fontId="22" fillId="0" borderId="0" xfId="17" applyFont="1" applyBorder="1" applyAlignment="1">
      <alignment horizontal="right" vertical="center" readingOrder="2"/>
    </xf>
    <xf numFmtId="0" fontId="22" fillId="0" borderId="0" xfId="17" applyFont="1" applyBorder="1" applyAlignment="1">
      <alignment vertical="center" readingOrder="2"/>
    </xf>
    <xf numFmtId="0" fontId="25" fillId="2" borderId="6" xfId="1" applyFont="1" applyFill="1" applyBorder="1" applyAlignment="1">
      <alignment horizontal="center" vertical="center" wrapText="1" readingOrder="2"/>
    </xf>
    <xf numFmtId="0" fontId="27" fillId="2" borderId="6" xfId="1" applyFont="1" applyFill="1" applyBorder="1" applyAlignment="1">
      <alignment horizontal="center" vertical="center" wrapText="1" readingOrder="1"/>
    </xf>
    <xf numFmtId="164" fontId="30" fillId="2" borderId="6" xfId="0" applyNumberFormat="1" applyFont="1" applyFill="1" applyBorder="1" applyAlignment="1">
      <alignment horizontal="center" vertical="center"/>
    </xf>
    <xf numFmtId="0" fontId="27" fillId="2" borderId="1" xfId="1" applyFont="1" applyFill="1" applyBorder="1" applyAlignment="1">
      <alignment horizontal="center" vertical="center" wrapText="1" readingOrder="1"/>
    </xf>
    <xf numFmtId="164" fontId="27" fillId="4" borderId="1" xfId="1" applyNumberFormat="1" applyFont="1" applyFill="1" applyBorder="1" applyAlignment="1">
      <alignment horizontal="center" vertical="center" wrapText="1" readingOrder="1"/>
    </xf>
    <xf numFmtId="1" fontId="27" fillId="4" borderId="5" xfId="1" applyNumberFormat="1" applyFont="1" applyFill="1" applyBorder="1" applyAlignment="1">
      <alignment horizontal="center" vertical="center" wrapText="1" readingOrder="1"/>
    </xf>
    <xf numFmtId="1" fontId="27" fillId="4" borderId="1" xfId="1" applyNumberFormat="1" applyFont="1" applyFill="1" applyBorder="1" applyAlignment="1">
      <alignment horizontal="center" vertical="center" wrapText="1" readingOrder="1"/>
    </xf>
    <xf numFmtId="0" fontId="25" fillId="0" borderId="6" xfId="1" applyFont="1" applyBorder="1" applyAlignment="1">
      <alignment horizontal="center" vertical="center" wrapText="1" readingOrder="2"/>
    </xf>
    <xf numFmtId="1" fontId="27" fillId="2" borderId="6" xfId="1" applyNumberFormat="1" applyFont="1" applyFill="1" applyBorder="1" applyAlignment="1">
      <alignment horizontal="center" vertical="center" wrapText="1" readingOrder="1"/>
    </xf>
    <xf numFmtId="164" fontId="27" fillId="4" borderId="6" xfId="1" applyNumberFormat="1" applyFont="1" applyFill="1" applyBorder="1" applyAlignment="1">
      <alignment horizontal="center" vertical="center" wrapText="1" readingOrder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1" applyFont="1" applyFill="1" applyBorder="1" applyAlignment="1">
      <alignment horizontal="center" vertical="center" wrapText="1" readingOrder="2"/>
    </xf>
    <xf numFmtId="164" fontId="27" fillId="2" borderId="1" xfId="1" applyNumberFormat="1" applyFont="1" applyFill="1" applyBorder="1" applyAlignment="1">
      <alignment horizontal="center" vertical="center" wrapText="1" readingOrder="2"/>
    </xf>
    <xf numFmtId="164" fontId="27" fillId="2" borderId="6" xfId="1" applyNumberFormat="1" applyFont="1" applyFill="1" applyBorder="1" applyAlignment="1">
      <alignment horizontal="center" vertical="center" wrapText="1" readingOrder="2"/>
    </xf>
    <xf numFmtId="0" fontId="27" fillId="2" borderId="2" xfId="1" applyFont="1" applyFill="1" applyBorder="1" applyAlignment="1">
      <alignment horizontal="center" vertical="center" wrapText="1" readingOrder="1"/>
    </xf>
    <xf numFmtId="164" fontId="27" fillId="2" borderId="14" xfId="1" applyNumberFormat="1" applyFont="1" applyFill="1" applyBorder="1" applyAlignment="1">
      <alignment horizontal="center" vertical="center" wrapText="1" readingOrder="1"/>
    </xf>
    <xf numFmtId="1" fontId="27" fillId="2" borderId="2" xfId="1" applyNumberFormat="1" applyFont="1" applyFill="1" applyBorder="1" applyAlignment="1">
      <alignment horizontal="center" vertical="center" wrapText="1" readingOrder="1"/>
    </xf>
    <xf numFmtId="164" fontId="27" fillId="2" borderId="15" xfId="1" applyNumberFormat="1" applyFont="1" applyFill="1" applyBorder="1" applyAlignment="1">
      <alignment horizontal="center" vertical="center" wrapText="1" readingOrder="1"/>
    </xf>
    <xf numFmtId="1" fontId="27" fillId="2" borderId="5" xfId="0" applyNumberFormat="1" applyFont="1" applyFill="1" applyBorder="1" applyAlignment="1">
      <alignment horizontal="center" vertical="center" wrapText="1"/>
    </xf>
    <xf numFmtId="164" fontId="27" fillId="2" borderId="5" xfId="1" applyNumberFormat="1" applyFont="1" applyFill="1" applyBorder="1" applyAlignment="1">
      <alignment horizontal="center" vertical="center" wrapText="1" readingOrder="2"/>
    </xf>
    <xf numFmtId="1" fontId="27" fillId="2" borderId="1" xfId="1" applyNumberFormat="1" applyFont="1" applyFill="1" applyBorder="1" applyAlignment="1">
      <alignment horizontal="center" vertical="center" wrapText="1" readingOrder="1"/>
    </xf>
    <xf numFmtId="0" fontId="23" fillId="0" borderId="0" xfId="1" applyFont="1" applyBorder="1" applyAlignment="1">
      <alignment vertical="center"/>
    </xf>
    <xf numFmtId="0" fontId="19" fillId="2" borderId="1" xfId="1" applyFont="1" applyFill="1" applyBorder="1" applyAlignment="1">
      <alignment horizontal="center" vertical="center" wrapText="1" readingOrder="2"/>
    </xf>
    <xf numFmtId="1" fontId="27" fillId="2" borderId="1" xfId="0" applyNumberFormat="1" applyFont="1" applyFill="1" applyBorder="1" applyAlignment="1">
      <alignment horizontal="center" vertical="center" wrapText="1"/>
    </xf>
    <xf numFmtId="0" fontId="19" fillId="2" borderId="6" xfId="1" applyFont="1" applyFill="1" applyBorder="1" applyAlignment="1">
      <alignment horizontal="center" vertical="center" wrapText="1" readingOrder="2"/>
    </xf>
    <xf numFmtId="0" fontId="19" fillId="3" borderId="6" xfId="1" applyFont="1" applyFill="1" applyBorder="1" applyAlignment="1">
      <alignment horizontal="center" vertical="center" wrapText="1" readingOrder="2"/>
    </xf>
    <xf numFmtId="1" fontId="27" fillId="2" borderId="2" xfId="1" applyNumberFormat="1" applyFont="1" applyFill="1" applyBorder="1" applyAlignment="1">
      <alignment horizontal="center" vertical="center" wrapText="1" readingOrder="2"/>
    </xf>
    <xf numFmtId="0" fontId="27" fillId="2" borderId="2" xfId="0" applyFont="1" applyFill="1" applyBorder="1" applyAlignment="1">
      <alignment horizontal="center" vertical="center" wrapText="1"/>
    </xf>
    <xf numFmtId="164" fontId="27" fillId="2" borderId="16" xfId="1" applyNumberFormat="1" applyFont="1" applyFill="1" applyBorder="1" applyAlignment="1">
      <alignment horizontal="center" vertical="center" wrapText="1" readingOrder="1"/>
    </xf>
    <xf numFmtId="1" fontId="18" fillId="2" borderId="2" xfId="1" applyNumberFormat="1" applyFont="1" applyFill="1" applyBorder="1" applyAlignment="1">
      <alignment horizontal="center" vertical="center" wrapText="1" readingOrder="2"/>
    </xf>
    <xf numFmtId="0" fontId="18" fillId="2" borderId="1" xfId="1" applyFont="1" applyFill="1" applyBorder="1" applyAlignment="1">
      <alignment horizontal="center" vertical="center" wrapText="1" readingOrder="2"/>
    </xf>
    <xf numFmtId="1" fontId="18" fillId="2" borderId="1" xfId="1" applyNumberFormat="1" applyFont="1" applyFill="1" applyBorder="1" applyAlignment="1">
      <alignment horizontal="center" vertical="center" wrapText="1" readingOrder="2"/>
    </xf>
    <xf numFmtId="1" fontId="27" fillId="2" borderId="1" xfId="1" applyNumberFormat="1" applyFont="1" applyFill="1" applyBorder="1" applyAlignment="1">
      <alignment horizontal="center" vertical="center" wrapText="1" readingOrder="2"/>
    </xf>
    <xf numFmtId="0" fontId="18" fillId="2" borderId="6" xfId="1" applyFont="1" applyFill="1" applyBorder="1" applyAlignment="1">
      <alignment horizontal="center" vertical="center" wrapText="1" readingOrder="2"/>
    </xf>
    <xf numFmtId="1" fontId="18" fillId="2" borderId="6" xfId="1" applyNumberFormat="1" applyFont="1" applyFill="1" applyBorder="1" applyAlignment="1">
      <alignment horizontal="center" vertical="center" wrapText="1" readingOrder="2"/>
    </xf>
    <xf numFmtId="1" fontId="27" fillId="2" borderId="6" xfId="1" applyNumberFormat="1" applyFont="1" applyFill="1" applyBorder="1" applyAlignment="1">
      <alignment horizontal="center" vertical="center" wrapText="1" readingOrder="2"/>
    </xf>
    <xf numFmtId="0" fontId="29" fillId="0" borderId="0" xfId="1" applyFont="1" applyAlignment="1">
      <alignment horizontal="center"/>
    </xf>
    <xf numFmtId="0" fontId="33" fillId="0" borderId="0" xfId="13" applyFont="1" applyBorder="1" applyAlignment="1">
      <alignment horizontal="left" vertical="top"/>
    </xf>
    <xf numFmtId="0" fontId="23" fillId="3" borderId="6" xfId="1" applyFont="1" applyFill="1" applyBorder="1" applyAlignment="1">
      <alignment horizontal="center" vertical="center" wrapText="1" readingOrder="2"/>
    </xf>
    <xf numFmtId="49" fontId="23" fillId="0" borderId="0" xfId="1" applyNumberFormat="1" applyFont="1" applyBorder="1" applyAlignment="1">
      <alignment horizontal="center" vertical="center"/>
    </xf>
    <xf numFmtId="0" fontId="25" fillId="3" borderId="6" xfId="1" applyFont="1" applyFill="1" applyBorder="1" applyAlignment="1">
      <alignment horizontal="center" vertical="center" wrapText="1" readingOrder="2"/>
    </xf>
    <xf numFmtId="0" fontId="22" fillId="0" borderId="0" xfId="17" applyFont="1" applyBorder="1" applyAlignment="1">
      <alignment horizontal="right" vertical="center" readingOrder="2"/>
    </xf>
    <xf numFmtId="0" fontId="23" fillId="0" borderId="0" xfId="1" applyFont="1" applyBorder="1" applyAlignment="1">
      <alignment horizontal="center" vertical="center"/>
    </xf>
    <xf numFmtId="0" fontId="18" fillId="0" borderId="0" xfId="1" applyFont="1" applyBorder="1" applyAlignment="1">
      <alignment horizontal="left" vertical="center"/>
    </xf>
    <xf numFmtId="0" fontId="20" fillId="0" borderId="4" xfId="17" applyFont="1" applyBorder="1" applyAlignment="1">
      <alignment horizontal="right" vertical="center" readingOrder="2"/>
    </xf>
    <xf numFmtId="0" fontId="26" fillId="0" borderId="0" xfId="1" applyFont="1" applyBorder="1" applyAlignment="1">
      <alignment horizontal="center" vertical="center"/>
    </xf>
    <xf numFmtId="0" fontId="20" fillId="0" borderId="0" xfId="17" applyFont="1" applyBorder="1" applyAlignment="1">
      <alignment horizontal="right" vertical="center" readingOrder="2"/>
    </xf>
    <xf numFmtId="0" fontId="19" fillId="3" borderId="6" xfId="1" applyFont="1" applyFill="1" applyBorder="1" applyAlignment="1">
      <alignment horizontal="center" vertical="center" wrapText="1" readingOrder="2"/>
    </xf>
    <xf numFmtId="0" fontId="27" fillId="0" borderId="0" xfId="1" applyFont="1" applyBorder="1" applyAlignment="1">
      <alignment horizontal="center" vertical="center"/>
    </xf>
    <xf numFmtId="0" fontId="3" fillId="0" borderId="0" xfId="13" applyFont="1" applyBorder="1" applyAlignment="1">
      <alignment horizontal="center"/>
    </xf>
    <xf numFmtId="0" fontId="9" fillId="0" borderId="0" xfId="13" applyBorder="1" applyAlignment="1">
      <alignment horizontal="center"/>
    </xf>
    <xf numFmtId="0" fontId="28" fillId="0" borderId="0" xfId="1" applyFont="1" applyAlignment="1">
      <alignment horizontal="center"/>
    </xf>
    <xf numFmtId="0" fontId="18" fillId="3" borderId="6" xfId="1" applyFont="1" applyFill="1" applyBorder="1" applyAlignment="1">
      <alignment horizontal="center" vertical="center" wrapText="1" readingOrder="2"/>
    </xf>
    <xf numFmtId="0" fontId="31" fillId="0" borderId="0" xfId="1" applyFont="1" applyAlignment="1">
      <alignment horizontal="center"/>
    </xf>
  </cellXfs>
  <cellStyles count="18">
    <cellStyle name="Normal" xfId="0" builtinId="0"/>
    <cellStyle name="Normal 10" xfId="13"/>
    <cellStyle name="Normal 10 2" xfId="15"/>
    <cellStyle name="Normal 10 2 2" xfId="17"/>
    <cellStyle name="Normal 2" xfId="1"/>
    <cellStyle name="Normal 2 2" xfId="11"/>
    <cellStyle name="Normal 2 2 2" xfId="16"/>
    <cellStyle name="Normal 3" xfId="2"/>
    <cellStyle name="Normal 3 2" xfId="3"/>
    <cellStyle name="Normal 4" xfId="4"/>
    <cellStyle name="Normal 5" xfId="5"/>
    <cellStyle name="Normal 6" xfId="6"/>
    <cellStyle name="Normal 7" xfId="7"/>
    <cellStyle name="Normal 7 2" xfId="12"/>
    <cellStyle name="Normal 8" xfId="8"/>
    <cellStyle name="Normal 8 2" xfId="9"/>
    <cellStyle name="Normal 8 3" xfId="14"/>
    <cellStyle name="Normal 9" xfId="10"/>
  </cellStyles>
  <dxfs count="0"/>
  <tableStyles count="0" defaultTableStyle="TableStyleMedium9" defaultPivotStyle="PivotStyleLight16"/>
  <colors>
    <mruColors>
      <color rgb="FFCC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5"/>
  <sheetViews>
    <sheetView rightToLeft="1" zoomScaleNormal="100" workbookViewId="0">
      <selection activeCell="I21" sqref="I21"/>
    </sheetView>
  </sheetViews>
  <sheetFormatPr defaultRowHeight="15"/>
  <cols>
    <col min="1" max="1" width="1.5703125" style="1" customWidth="1"/>
    <col min="2" max="2" width="18.5703125" style="1" customWidth="1"/>
    <col min="3" max="3" width="9.42578125" style="1" bestFit="1" customWidth="1"/>
    <col min="4" max="4" width="11.7109375" style="1" customWidth="1"/>
    <col min="5" max="5" width="9.42578125" style="1" bestFit="1" customWidth="1"/>
    <col min="6" max="6" width="9.7109375" style="1" bestFit="1" customWidth="1"/>
    <col min="7" max="7" width="12.140625" style="1" customWidth="1"/>
    <col min="8" max="8" width="9.42578125" style="1" bestFit="1" customWidth="1"/>
    <col min="9" max="9" width="9.7109375" style="1" bestFit="1" customWidth="1"/>
    <col min="10" max="10" width="11.28515625" style="1" bestFit="1" customWidth="1"/>
    <col min="11" max="11" width="9.42578125" style="1" bestFit="1" customWidth="1"/>
    <col min="12" max="16384" width="9.140625" style="1"/>
  </cols>
  <sheetData>
    <row r="2" spans="2:11" ht="24">
      <c r="B2" s="98" t="s">
        <v>36</v>
      </c>
      <c r="C2" s="98"/>
      <c r="D2" s="98"/>
      <c r="E2" s="98"/>
      <c r="F2" s="98"/>
      <c r="G2" s="98"/>
      <c r="H2" s="98"/>
      <c r="I2" s="98"/>
      <c r="J2" s="98"/>
      <c r="K2" s="98"/>
    </row>
    <row r="3" spans="2:11" ht="17.25">
      <c r="B3" s="99" t="s">
        <v>8</v>
      </c>
      <c r="C3" s="99"/>
      <c r="D3" s="99"/>
      <c r="E3" s="99"/>
      <c r="F3" s="99"/>
      <c r="G3" s="99"/>
      <c r="H3" s="99"/>
      <c r="I3" s="99"/>
      <c r="J3" s="99"/>
      <c r="K3" s="99"/>
    </row>
    <row r="4" spans="2:11" ht="30" customHeight="1">
      <c r="B4" s="100" t="s">
        <v>2</v>
      </c>
      <c r="C4" s="100" t="s">
        <v>34</v>
      </c>
      <c r="D4" s="100"/>
      <c r="E4" s="100"/>
      <c r="F4" s="100" t="s">
        <v>27</v>
      </c>
      <c r="G4" s="100"/>
      <c r="H4" s="100"/>
      <c r="I4" s="100" t="s">
        <v>1</v>
      </c>
      <c r="J4" s="100"/>
      <c r="K4" s="100"/>
    </row>
    <row r="5" spans="2:11" ht="30" customHeight="1" thickBot="1">
      <c r="B5" s="100"/>
      <c r="C5" s="49" t="s">
        <v>0</v>
      </c>
      <c r="D5" s="49" t="s">
        <v>22</v>
      </c>
      <c r="E5" s="49" t="s">
        <v>23</v>
      </c>
      <c r="F5" s="49" t="s">
        <v>0</v>
      </c>
      <c r="G5" s="49" t="s">
        <v>22</v>
      </c>
      <c r="H5" s="49" t="s">
        <v>23</v>
      </c>
      <c r="I5" s="49" t="s">
        <v>0</v>
      </c>
      <c r="J5" s="49" t="s">
        <v>22</v>
      </c>
      <c r="K5" s="49" t="s">
        <v>23</v>
      </c>
    </row>
    <row r="6" spans="2:11" ht="30" customHeight="1" thickTop="1" thickBot="1">
      <c r="B6" s="50" t="s">
        <v>6</v>
      </c>
      <c r="C6" s="22">
        <v>0</v>
      </c>
      <c r="D6" s="22">
        <v>0</v>
      </c>
      <c r="E6" s="23">
        <v>0</v>
      </c>
      <c r="F6" s="22">
        <v>400</v>
      </c>
      <c r="G6" s="22">
        <v>15200</v>
      </c>
      <c r="H6" s="23">
        <f>G6/F6</f>
        <v>38</v>
      </c>
      <c r="I6" s="24">
        <f>F6+C6</f>
        <v>400</v>
      </c>
      <c r="J6" s="24">
        <v>15200</v>
      </c>
      <c r="K6" s="23">
        <f>J6/I6</f>
        <v>38</v>
      </c>
    </row>
    <row r="7" spans="2:11" ht="30" customHeight="1" thickTop="1" thickBot="1">
      <c r="B7" s="51" t="s">
        <v>12</v>
      </c>
      <c r="C7" s="25">
        <v>4800</v>
      </c>
      <c r="D7" s="25">
        <v>172800</v>
      </c>
      <c r="E7" s="23">
        <f t="shared" ref="E7:E12" si="0">D7/C7</f>
        <v>36</v>
      </c>
      <c r="F7" s="25">
        <v>10300</v>
      </c>
      <c r="G7" s="25">
        <v>391400</v>
      </c>
      <c r="H7" s="23">
        <f t="shared" ref="H7:H14" si="1">G7/F7</f>
        <v>38</v>
      </c>
      <c r="I7" s="24">
        <f t="shared" ref="I7:I14" si="2">F7+C7</f>
        <v>15100</v>
      </c>
      <c r="J7" s="26">
        <v>564200</v>
      </c>
      <c r="K7" s="23">
        <f>J7/I7</f>
        <v>37.364238410596023</v>
      </c>
    </row>
    <row r="8" spans="2:11" ht="30" customHeight="1" thickTop="1" thickBot="1">
      <c r="B8" s="52" t="s">
        <v>9</v>
      </c>
      <c r="C8" s="27">
        <v>0</v>
      </c>
      <c r="D8" s="27">
        <v>0</v>
      </c>
      <c r="E8" s="23">
        <v>0</v>
      </c>
      <c r="F8" s="27">
        <v>2000</v>
      </c>
      <c r="G8" s="27">
        <v>58000</v>
      </c>
      <c r="H8" s="23">
        <f t="shared" si="1"/>
        <v>29</v>
      </c>
      <c r="I8" s="24">
        <f t="shared" si="2"/>
        <v>2000</v>
      </c>
      <c r="J8" s="26">
        <v>58000</v>
      </c>
      <c r="K8" s="23">
        <f t="shared" ref="K8:K14" si="3">J8/I8</f>
        <v>29</v>
      </c>
    </row>
    <row r="9" spans="2:11" ht="30" customHeight="1" thickTop="1" thickBot="1">
      <c r="B9" s="52" t="s">
        <v>10</v>
      </c>
      <c r="C9" s="27">
        <v>200</v>
      </c>
      <c r="D9" s="27">
        <v>7200</v>
      </c>
      <c r="E9" s="23">
        <f>D9/C9</f>
        <v>36</v>
      </c>
      <c r="F9" s="27">
        <v>170</v>
      </c>
      <c r="G9" s="27">
        <v>5270</v>
      </c>
      <c r="H9" s="23">
        <f>G9/F9</f>
        <v>31</v>
      </c>
      <c r="I9" s="24">
        <f t="shared" si="2"/>
        <v>370</v>
      </c>
      <c r="J9" s="26">
        <v>12470</v>
      </c>
      <c r="K9" s="23">
        <f t="shared" si="3"/>
        <v>33.702702702702702</v>
      </c>
    </row>
    <row r="10" spans="2:11" ht="30" customHeight="1" thickTop="1" thickBot="1">
      <c r="B10" s="51" t="s">
        <v>3</v>
      </c>
      <c r="C10" s="25">
        <v>850</v>
      </c>
      <c r="D10" s="25">
        <v>31450</v>
      </c>
      <c r="E10" s="23">
        <f t="shared" si="0"/>
        <v>37</v>
      </c>
      <c r="F10" s="25">
        <v>650</v>
      </c>
      <c r="G10" s="25">
        <v>24050</v>
      </c>
      <c r="H10" s="23">
        <f t="shared" si="1"/>
        <v>37</v>
      </c>
      <c r="I10" s="24">
        <f t="shared" si="2"/>
        <v>1500</v>
      </c>
      <c r="J10" s="26">
        <v>55500</v>
      </c>
      <c r="K10" s="23">
        <f t="shared" si="3"/>
        <v>37</v>
      </c>
    </row>
    <row r="11" spans="2:11" ht="30" customHeight="1" thickTop="1" thickBot="1">
      <c r="B11" s="52" t="s">
        <v>4</v>
      </c>
      <c r="C11" s="27">
        <v>0</v>
      </c>
      <c r="D11" s="27">
        <v>0</v>
      </c>
      <c r="E11" s="23">
        <v>0</v>
      </c>
      <c r="F11" s="27">
        <v>750</v>
      </c>
      <c r="G11" s="27">
        <v>24000</v>
      </c>
      <c r="H11" s="23">
        <f t="shared" si="1"/>
        <v>32</v>
      </c>
      <c r="I11" s="24">
        <f t="shared" si="2"/>
        <v>750</v>
      </c>
      <c r="J11" s="26">
        <v>24000</v>
      </c>
      <c r="K11" s="23">
        <f t="shared" si="3"/>
        <v>32</v>
      </c>
    </row>
    <row r="12" spans="2:11" ht="30" customHeight="1" thickTop="1" thickBot="1">
      <c r="B12" s="51" t="s">
        <v>5</v>
      </c>
      <c r="C12" s="25">
        <v>50</v>
      </c>
      <c r="D12" s="25">
        <v>900</v>
      </c>
      <c r="E12" s="23">
        <f t="shared" si="0"/>
        <v>18</v>
      </c>
      <c r="F12" s="25">
        <v>5500</v>
      </c>
      <c r="G12" s="25">
        <v>154000</v>
      </c>
      <c r="H12" s="23">
        <f t="shared" si="1"/>
        <v>28</v>
      </c>
      <c r="I12" s="24">
        <f t="shared" si="2"/>
        <v>5550</v>
      </c>
      <c r="J12" s="26">
        <v>154900</v>
      </c>
      <c r="K12" s="23">
        <f t="shared" si="3"/>
        <v>27.90990990990991</v>
      </c>
    </row>
    <row r="13" spans="2:11" ht="30" customHeight="1" thickTop="1" thickBot="1">
      <c r="B13" s="52" t="s">
        <v>11</v>
      </c>
      <c r="C13" s="27">
        <v>0</v>
      </c>
      <c r="D13" s="27">
        <v>0</v>
      </c>
      <c r="E13" s="23">
        <v>0</v>
      </c>
      <c r="F13" s="27">
        <v>500</v>
      </c>
      <c r="G13" s="27">
        <v>16500</v>
      </c>
      <c r="H13" s="23">
        <f>G13/F13</f>
        <v>33</v>
      </c>
      <c r="I13" s="24">
        <f t="shared" si="2"/>
        <v>500</v>
      </c>
      <c r="J13" s="26">
        <v>16500</v>
      </c>
      <c r="K13" s="23">
        <f t="shared" si="3"/>
        <v>33</v>
      </c>
    </row>
    <row r="14" spans="2:11" ht="30" customHeight="1" thickTop="1">
      <c r="B14" s="55" t="s">
        <v>21</v>
      </c>
      <c r="C14" s="65">
        <v>0</v>
      </c>
      <c r="D14" s="65">
        <v>0</v>
      </c>
      <c r="E14" s="66">
        <v>0</v>
      </c>
      <c r="F14" s="65">
        <v>200</v>
      </c>
      <c r="G14" s="65">
        <v>9000</v>
      </c>
      <c r="H14" s="66">
        <f t="shared" si="1"/>
        <v>45</v>
      </c>
      <c r="I14" s="67">
        <f t="shared" si="2"/>
        <v>200</v>
      </c>
      <c r="J14" s="68">
        <v>9000</v>
      </c>
      <c r="K14" s="66">
        <f t="shared" si="3"/>
        <v>45</v>
      </c>
    </row>
    <row r="15" spans="2:11" ht="30" customHeight="1">
      <c r="B15" s="69" t="s">
        <v>13</v>
      </c>
      <c r="C15" s="70">
        <f>SUM(C6:C14)</f>
        <v>5900</v>
      </c>
      <c r="D15" s="70">
        <f>SUM(D6:D14)</f>
        <v>212350</v>
      </c>
      <c r="E15" s="71">
        <f>D15/C15</f>
        <v>35.991525423728817</v>
      </c>
      <c r="F15" s="70">
        <f>SUM(F6:F14)</f>
        <v>20470</v>
      </c>
      <c r="G15" s="70">
        <f>SUM(G6:G14)</f>
        <v>697420</v>
      </c>
      <c r="H15" s="71">
        <f>G15/F15</f>
        <v>34.07034684904739</v>
      </c>
      <c r="I15" s="70">
        <f>SUM(I6:I14)</f>
        <v>26370</v>
      </c>
      <c r="J15" s="70">
        <f>SUM(J6:J14)</f>
        <v>909770</v>
      </c>
      <c r="K15" s="71">
        <f>J15/I15</f>
        <v>34.500189609404629</v>
      </c>
    </row>
  </sheetData>
  <mergeCells count="6">
    <mergeCell ref="B2:K2"/>
    <mergeCell ref="B3:K3"/>
    <mergeCell ref="B4:B5"/>
    <mergeCell ref="C4:E4"/>
    <mergeCell ref="F4:H4"/>
    <mergeCell ref="I4:K4"/>
  </mergeCells>
  <pageMargins left="0.70866141732283472" right="0.70866141732283472" top="0.74803149606299213" bottom="0.74803149606299213" header="0.31496062992125984" footer="0.31496062992125984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7"/>
  <sheetViews>
    <sheetView rightToLeft="1" zoomScaleNormal="100" workbookViewId="0">
      <selection activeCell="R2" sqref="R2"/>
    </sheetView>
  </sheetViews>
  <sheetFormatPr defaultRowHeight="15"/>
  <cols>
    <col min="1" max="1" width="2.28515625" style="1" customWidth="1"/>
    <col min="2" max="2" width="17.5703125" style="1" customWidth="1"/>
    <col min="3" max="3" width="9.7109375" style="1" bestFit="1" customWidth="1"/>
    <col min="4" max="4" width="11.28515625" style="1" bestFit="1" customWidth="1"/>
    <col min="5" max="5" width="14.140625" style="1" bestFit="1" customWidth="1"/>
    <col min="6" max="6" width="9.7109375" style="1" bestFit="1" customWidth="1"/>
    <col min="7" max="7" width="11.28515625" style="1" bestFit="1" customWidth="1"/>
    <col min="8" max="8" width="7.28515625" style="1" bestFit="1" customWidth="1"/>
    <col min="9" max="9" width="9.7109375" style="1" bestFit="1" customWidth="1"/>
    <col min="10" max="10" width="13" style="1" bestFit="1" customWidth="1"/>
    <col min="11" max="11" width="7.5703125" style="1" customWidth="1"/>
    <col min="12" max="163" width="9.140625" style="1"/>
    <col min="164" max="164" width="1.140625" style="1" customWidth="1"/>
    <col min="165" max="165" width="20.42578125" style="1" customWidth="1"/>
    <col min="166" max="174" width="7.5703125" style="1" customWidth="1"/>
    <col min="175" max="419" width="9.140625" style="1"/>
    <col min="420" max="420" width="1.140625" style="1" customWidth="1"/>
    <col min="421" max="421" width="20.42578125" style="1" customWidth="1"/>
    <col min="422" max="430" width="7.5703125" style="1" customWidth="1"/>
    <col min="431" max="675" width="9.140625" style="1"/>
    <col min="676" max="676" width="1.140625" style="1" customWidth="1"/>
    <col min="677" max="677" width="20.42578125" style="1" customWidth="1"/>
    <col min="678" max="686" width="7.5703125" style="1" customWidth="1"/>
    <col min="687" max="931" width="9.140625" style="1"/>
    <col min="932" max="932" width="1.140625" style="1" customWidth="1"/>
    <col min="933" max="933" width="20.42578125" style="1" customWidth="1"/>
    <col min="934" max="942" width="7.5703125" style="1" customWidth="1"/>
    <col min="943" max="1187" width="9.140625" style="1"/>
    <col min="1188" max="1188" width="1.140625" style="1" customWidth="1"/>
    <col min="1189" max="1189" width="20.42578125" style="1" customWidth="1"/>
    <col min="1190" max="1198" width="7.5703125" style="1" customWidth="1"/>
    <col min="1199" max="1443" width="9.140625" style="1"/>
    <col min="1444" max="1444" width="1.140625" style="1" customWidth="1"/>
    <col min="1445" max="1445" width="20.42578125" style="1" customWidth="1"/>
    <col min="1446" max="1454" width="7.5703125" style="1" customWidth="1"/>
    <col min="1455" max="1699" width="9.140625" style="1"/>
    <col min="1700" max="1700" width="1.140625" style="1" customWidth="1"/>
    <col min="1701" max="1701" width="20.42578125" style="1" customWidth="1"/>
    <col min="1702" max="1710" width="7.5703125" style="1" customWidth="1"/>
    <col min="1711" max="1955" width="9.140625" style="1"/>
    <col min="1956" max="1956" width="1.140625" style="1" customWidth="1"/>
    <col min="1957" max="1957" width="20.42578125" style="1" customWidth="1"/>
    <col min="1958" max="1966" width="7.5703125" style="1" customWidth="1"/>
    <col min="1967" max="2211" width="9.140625" style="1"/>
    <col min="2212" max="2212" width="1.140625" style="1" customWidth="1"/>
    <col min="2213" max="2213" width="20.42578125" style="1" customWidth="1"/>
    <col min="2214" max="2222" width="7.5703125" style="1" customWidth="1"/>
    <col min="2223" max="2467" width="9.140625" style="1"/>
    <col min="2468" max="2468" width="1.140625" style="1" customWidth="1"/>
    <col min="2469" max="2469" width="20.42578125" style="1" customWidth="1"/>
    <col min="2470" max="2478" width="7.5703125" style="1" customWidth="1"/>
    <col min="2479" max="2723" width="9.140625" style="1"/>
    <col min="2724" max="2724" width="1.140625" style="1" customWidth="1"/>
    <col min="2725" max="2725" width="20.42578125" style="1" customWidth="1"/>
    <col min="2726" max="2734" width="7.5703125" style="1" customWidth="1"/>
    <col min="2735" max="2979" width="9.140625" style="1"/>
    <col min="2980" max="2980" width="1.140625" style="1" customWidth="1"/>
    <col min="2981" max="2981" width="20.42578125" style="1" customWidth="1"/>
    <col min="2982" max="2990" width="7.5703125" style="1" customWidth="1"/>
    <col min="2991" max="3235" width="9.140625" style="1"/>
    <col min="3236" max="3236" width="1.140625" style="1" customWidth="1"/>
    <col min="3237" max="3237" width="20.42578125" style="1" customWidth="1"/>
    <col min="3238" max="3246" width="7.5703125" style="1" customWidth="1"/>
    <col min="3247" max="3491" width="9.140625" style="1"/>
    <col min="3492" max="3492" width="1.140625" style="1" customWidth="1"/>
    <col min="3493" max="3493" width="20.42578125" style="1" customWidth="1"/>
    <col min="3494" max="3502" width="7.5703125" style="1" customWidth="1"/>
    <col min="3503" max="3747" width="9.140625" style="1"/>
    <col min="3748" max="3748" width="1.140625" style="1" customWidth="1"/>
    <col min="3749" max="3749" width="20.42578125" style="1" customWidth="1"/>
    <col min="3750" max="3758" width="7.5703125" style="1" customWidth="1"/>
    <col min="3759" max="4003" width="9.140625" style="1"/>
    <col min="4004" max="4004" width="1.140625" style="1" customWidth="1"/>
    <col min="4005" max="4005" width="20.42578125" style="1" customWidth="1"/>
    <col min="4006" max="4014" width="7.5703125" style="1" customWidth="1"/>
    <col min="4015" max="4259" width="9.140625" style="1"/>
    <col min="4260" max="4260" width="1.140625" style="1" customWidth="1"/>
    <col min="4261" max="4261" width="20.42578125" style="1" customWidth="1"/>
    <col min="4262" max="4270" width="7.5703125" style="1" customWidth="1"/>
    <col min="4271" max="4515" width="9.140625" style="1"/>
    <col min="4516" max="4516" width="1.140625" style="1" customWidth="1"/>
    <col min="4517" max="4517" width="20.42578125" style="1" customWidth="1"/>
    <col min="4518" max="4526" width="7.5703125" style="1" customWidth="1"/>
    <col min="4527" max="4771" width="9.140625" style="1"/>
    <col min="4772" max="4772" width="1.140625" style="1" customWidth="1"/>
    <col min="4773" max="4773" width="20.42578125" style="1" customWidth="1"/>
    <col min="4774" max="4782" width="7.5703125" style="1" customWidth="1"/>
    <col min="4783" max="5027" width="9.140625" style="1"/>
    <col min="5028" max="5028" width="1.140625" style="1" customWidth="1"/>
    <col min="5029" max="5029" width="20.42578125" style="1" customWidth="1"/>
    <col min="5030" max="5038" width="7.5703125" style="1" customWidth="1"/>
    <col min="5039" max="5283" width="9.140625" style="1"/>
    <col min="5284" max="5284" width="1.140625" style="1" customWidth="1"/>
    <col min="5285" max="5285" width="20.42578125" style="1" customWidth="1"/>
    <col min="5286" max="5294" width="7.5703125" style="1" customWidth="1"/>
    <col min="5295" max="5539" width="9.140625" style="1"/>
    <col min="5540" max="5540" width="1.140625" style="1" customWidth="1"/>
    <col min="5541" max="5541" width="20.42578125" style="1" customWidth="1"/>
    <col min="5542" max="5550" width="7.5703125" style="1" customWidth="1"/>
    <col min="5551" max="5795" width="9.140625" style="1"/>
    <col min="5796" max="5796" width="1.140625" style="1" customWidth="1"/>
    <col min="5797" max="5797" width="20.42578125" style="1" customWidth="1"/>
    <col min="5798" max="5806" width="7.5703125" style="1" customWidth="1"/>
    <col min="5807" max="6051" width="9.140625" style="1"/>
    <col min="6052" max="6052" width="1.140625" style="1" customWidth="1"/>
    <col min="6053" max="6053" width="20.42578125" style="1" customWidth="1"/>
    <col min="6054" max="6062" width="7.5703125" style="1" customWidth="1"/>
    <col min="6063" max="6307" width="9.140625" style="1"/>
    <col min="6308" max="6308" width="1.140625" style="1" customWidth="1"/>
    <col min="6309" max="6309" width="20.42578125" style="1" customWidth="1"/>
    <col min="6310" max="6318" width="7.5703125" style="1" customWidth="1"/>
    <col min="6319" max="6563" width="9.140625" style="1"/>
    <col min="6564" max="6564" width="1.140625" style="1" customWidth="1"/>
    <col min="6565" max="6565" width="20.42578125" style="1" customWidth="1"/>
    <col min="6566" max="6574" width="7.5703125" style="1" customWidth="1"/>
    <col min="6575" max="6819" width="9.140625" style="1"/>
    <col min="6820" max="6820" width="1.140625" style="1" customWidth="1"/>
    <col min="6821" max="6821" width="20.42578125" style="1" customWidth="1"/>
    <col min="6822" max="6830" width="7.5703125" style="1" customWidth="1"/>
    <col min="6831" max="7075" width="9.140625" style="1"/>
    <col min="7076" max="7076" width="1.140625" style="1" customWidth="1"/>
    <col min="7077" max="7077" width="20.42578125" style="1" customWidth="1"/>
    <col min="7078" max="7086" width="7.5703125" style="1" customWidth="1"/>
    <col min="7087" max="7331" width="9.140625" style="1"/>
    <col min="7332" max="7332" width="1.140625" style="1" customWidth="1"/>
    <col min="7333" max="7333" width="20.42578125" style="1" customWidth="1"/>
    <col min="7334" max="7342" width="7.5703125" style="1" customWidth="1"/>
    <col min="7343" max="7587" width="9.140625" style="1"/>
    <col min="7588" max="7588" width="1.140625" style="1" customWidth="1"/>
    <col min="7589" max="7589" width="20.42578125" style="1" customWidth="1"/>
    <col min="7590" max="7598" width="7.5703125" style="1" customWidth="1"/>
    <col min="7599" max="7843" width="9.140625" style="1"/>
    <col min="7844" max="7844" width="1.140625" style="1" customWidth="1"/>
    <col min="7845" max="7845" width="20.42578125" style="1" customWidth="1"/>
    <col min="7846" max="7854" width="7.5703125" style="1" customWidth="1"/>
    <col min="7855" max="8099" width="9.140625" style="1"/>
    <col min="8100" max="8100" width="1.140625" style="1" customWidth="1"/>
    <col min="8101" max="8101" width="20.42578125" style="1" customWidth="1"/>
    <col min="8102" max="8110" width="7.5703125" style="1" customWidth="1"/>
    <col min="8111" max="8355" width="9.140625" style="1"/>
    <col min="8356" max="8356" width="1.140625" style="1" customWidth="1"/>
    <col min="8357" max="8357" width="20.42578125" style="1" customWidth="1"/>
    <col min="8358" max="8366" width="7.5703125" style="1" customWidth="1"/>
    <col min="8367" max="8611" width="9.140625" style="1"/>
    <col min="8612" max="8612" width="1.140625" style="1" customWidth="1"/>
    <col min="8613" max="8613" width="20.42578125" style="1" customWidth="1"/>
    <col min="8614" max="8622" width="7.5703125" style="1" customWidth="1"/>
    <col min="8623" max="8867" width="9.140625" style="1"/>
    <col min="8868" max="8868" width="1.140625" style="1" customWidth="1"/>
    <col min="8869" max="8869" width="20.42578125" style="1" customWidth="1"/>
    <col min="8870" max="8878" width="7.5703125" style="1" customWidth="1"/>
    <col min="8879" max="9123" width="9.140625" style="1"/>
    <col min="9124" max="9124" width="1.140625" style="1" customWidth="1"/>
    <col min="9125" max="9125" width="20.42578125" style="1" customWidth="1"/>
    <col min="9126" max="9134" width="7.5703125" style="1" customWidth="1"/>
    <col min="9135" max="9379" width="9.140625" style="1"/>
    <col min="9380" max="9380" width="1.140625" style="1" customWidth="1"/>
    <col min="9381" max="9381" width="20.42578125" style="1" customWidth="1"/>
    <col min="9382" max="9390" width="7.5703125" style="1" customWidth="1"/>
    <col min="9391" max="9635" width="9.140625" style="1"/>
    <col min="9636" max="9636" width="1.140625" style="1" customWidth="1"/>
    <col min="9637" max="9637" width="20.42578125" style="1" customWidth="1"/>
    <col min="9638" max="9646" width="7.5703125" style="1" customWidth="1"/>
    <col min="9647" max="9891" width="9.140625" style="1"/>
    <col min="9892" max="9892" width="1.140625" style="1" customWidth="1"/>
    <col min="9893" max="9893" width="20.42578125" style="1" customWidth="1"/>
    <col min="9894" max="9902" width="7.5703125" style="1" customWidth="1"/>
    <col min="9903" max="10147" width="9.140625" style="1"/>
    <col min="10148" max="10148" width="1.140625" style="1" customWidth="1"/>
    <col min="10149" max="10149" width="20.42578125" style="1" customWidth="1"/>
    <col min="10150" max="10158" width="7.5703125" style="1" customWidth="1"/>
    <col min="10159" max="10403" width="9.140625" style="1"/>
    <col min="10404" max="10404" width="1.140625" style="1" customWidth="1"/>
    <col min="10405" max="10405" width="20.42578125" style="1" customWidth="1"/>
    <col min="10406" max="10414" width="7.5703125" style="1" customWidth="1"/>
    <col min="10415" max="10659" width="9.140625" style="1"/>
    <col min="10660" max="10660" width="1.140625" style="1" customWidth="1"/>
    <col min="10661" max="10661" width="20.42578125" style="1" customWidth="1"/>
    <col min="10662" max="10670" width="7.5703125" style="1" customWidth="1"/>
    <col min="10671" max="10915" width="9.140625" style="1"/>
    <col min="10916" max="10916" width="1.140625" style="1" customWidth="1"/>
    <col min="10917" max="10917" width="20.42578125" style="1" customWidth="1"/>
    <col min="10918" max="10926" width="7.5703125" style="1" customWidth="1"/>
    <col min="10927" max="11171" width="9.140625" style="1"/>
    <col min="11172" max="11172" width="1.140625" style="1" customWidth="1"/>
    <col min="11173" max="11173" width="20.42578125" style="1" customWidth="1"/>
    <col min="11174" max="11182" width="7.5703125" style="1" customWidth="1"/>
    <col min="11183" max="11427" width="9.140625" style="1"/>
    <col min="11428" max="11428" width="1.140625" style="1" customWidth="1"/>
    <col min="11429" max="11429" width="20.42578125" style="1" customWidth="1"/>
    <col min="11430" max="11438" width="7.5703125" style="1" customWidth="1"/>
    <col min="11439" max="11683" width="9.140625" style="1"/>
    <col min="11684" max="11684" width="1.140625" style="1" customWidth="1"/>
    <col min="11685" max="11685" width="20.42578125" style="1" customWidth="1"/>
    <col min="11686" max="11694" width="7.5703125" style="1" customWidth="1"/>
    <col min="11695" max="11939" width="9.140625" style="1"/>
    <col min="11940" max="11940" width="1.140625" style="1" customWidth="1"/>
    <col min="11941" max="11941" width="20.42578125" style="1" customWidth="1"/>
    <col min="11942" max="11950" width="7.5703125" style="1" customWidth="1"/>
    <col min="11951" max="12195" width="9.140625" style="1"/>
    <col min="12196" max="12196" width="1.140625" style="1" customWidth="1"/>
    <col min="12197" max="12197" width="20.42578125" style="1" customWidth="1"/>
    <col min="12198" max="12206" width="7.5703125" style="1" customWidth="1"/>
    <col min="12207" max="12451" width="9.140625" style="1"/>
    <col min="12452" max="12452" width="1.140625" style="1" customWidth="1"/>
    <col min="12453" max="12453" width="20.42578125" style="1" customWidth="1"/>
    <col min="12454" max="12462" width="7.5703125" style="1" customWidth="1"/>
    <col min="12463" max="12707" width="9.140625" style="1"/>
    <col min="12708" max="12708" width="1.140625" style="1" customWidth="1"/>
    <col min="12709" max="12709" width="20.42578125" style="1" customWidth="1"/>
    <col min="12710" max="12718" width="7.5703125" style="1" customWidth="1"/>
    <col min="12719" max="12963" width="9.140625" style="1"/>
    <col min="12964" max="12964" width="1.140625" style="1" customWidth="1"/>
    <col min="12965" max="12965" width="20.42578125" style="1" customWidth="1"/>
    <col min="12966" max="12974" width="7.5703125" style="1" customWidth="1"/>
    <col min="12975" max="13219" width="9.140625" style="1"/>
    <col min="13220" max="13220" width="1.140625" style="1" customWidth="1"/>
    <col min="13221" max="13221" width="20.42578125" style="1" customWidth="1"/>
    <col min="13222" max="13230" width="7.5703125" style="1" customWidth="1"/>
    <col min="13231" max="13475" width="9.140625" style="1"/>
    <col min="13476" max="13476" width="1.140625" style="1" customWidth="1"/>
    <col min="13477" max="13477" width="20.42578125" style="1" customWidth="1"/>
    <col min="13478" max="13486" width="7.5703125" style="1" customWidth="1"/>
    <col min="13487" max="13731" width="9.140625" style="1"/>
    <col min="13732" max="13732" width="1.140625" style="1" customWidth="1"/>
    <col min="13733" max="13733" width="20.42578125" style="1" customWidth="1"/>
    <col min="13734" max="13742" width="7.5703125" style="1" customWidth="1"/>
    <col min="13743" max="13987" width="9.140625" style="1"/>
    <col min="13988" max="13988" width="1.140625" style="1" customWidth="1"/>
    <col min="13989" max="13989" width="20.42578125" style="1" customWidth="1"/>
    <col min="13990" max="13998" width="7.5703125" style="1" customWidth="1"/>
    <col min="13999" max="14243" width="9.140625" style="1"/>
    <col min="14244" max="14244" width="1.140625" style="1" customWidth="1"/>
    <col min="14245" max="14245" width="20.42578125" style="1" customWidth="1"/>
    <col min="14246" max="14254" width="7.5703125" style="1" customWidth="1"/>
    <col min="14255" max="14499" width="9.140625" style="1"/>
    <col min="14500" max="14500" width="1.140625" style="1" customWidth="1"/>
    <col min="14501" max="14501" width="20.42578125" style="1" customWidth="1"/>
    <col min="14502" max="14510" width="7.5703125" style="1" customWidth="1"/>
    <col min="14511" max="14755" width="9.140625" style="1"/>
    <col min="14756" max="14756" width="1.140625" style="1" customWidth="1"/>
    <col min="14757" max="14757" width="20.42578125" style="1" customWidth="1"/>
    <col min="14758" max="14766" width="7.5703125" style="1" customWidth="1"/>
    <col min="14767" max="15011" width="9.140625" style="1"/>
    <col min="15012" max="15012" width="1.140625" style="1" customWidth="1"/>
    <col min="15013" max="15013" width="20.42578125" style="1" customWidth="1"/>
    <col min="15014" max="15022" width="7.5703125" style="1" customWidth="1"/>
    <col min="15023" max="15267" width="9.140625" style="1"/>
    <col min="15268" max="15268" width="1.140625" style="1" customWidth="1"/>
    <col min="15269" max="15269" width="20.42578125" style="1" customWidth="1"/>
    <col min="15270" max="15278" width="7.5703125" style="1" customWidth="1"/>
    <col min="15279" max="15523" width="9.140625" style="1"/>
    <col min="15524" max="15524" width="1.140625" style="1" customWidth="1"/>
    <col min="15525" max="15525" width="20.42578125" style="1" customWidth="1"/>
    <col min="15526" max="15534" width="7.5703125" style="1" customWidth="1"/>
    <col min="15535" max="15779" width="9.140625" style="1"/>
    <col min="15780" max="15780" width="1.140625" style="1" customWidth="1"/>
    <col min="15781" max="15781" width="20.42578125" style="1" customWidth="1"/>
    <col min="15782" max="15790" width="7.5703125" style="1" customWidth="1"/>
    <col min="15791" max="16035" width="9.140625" style="1"/>
    <col min="16036" max="16036" width="1.140625" style="1" customWidth="1"/>
    <col min="16037" max="16037" width="20.42578125" style="1" customWidth="1"/>
    <col min="16038" max="16046" width="7.5703125" style="1" customWidth="1"/>
    <col min="16047" max="16336" width="9.140625" style="1"/>
    <col min="16337" max="16384" width="9" style="1" customWidth="1"/>
  </cols>
  <sheetData>
    <row r="1" spans="2:11" ht="12.75" customHeight="1"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2:11" ht="24">
      <c r="B2" s="98" t="s">
        <v>37</v>
      </c>
      <c r="C2" s="98"/>
      <c r="D2" s="98"/>
      <c r="E2" s="98"/>
      <c r="F2" s="98"/>
      <c r="G2" s="98"/>
      <c r="H2" s="98"/>
      <c r="I2" s="98"/>
      <c r="J2" s="98"/>
      <c r="K2" s="98"/>
    </row>
    <row r="3" spans="2:11" ht="17.25">
      <c r="B3" s="99" t="s">
        <v>8</v>
      </c>
      <c r="C3" s="99"/>
      <c r="D3" s="99"/>
      <c r="E3" s="99"/>
      <c r="F3" s="99"/>
      <c r="G3" s="99"/>
      <c r="H3" s="99"/>
      <c r="I3" s="99"/>
      <c r="J3" s="99"/>
      <c r="K3" s="99"/>
    </row>
    <row r="4" spans="2:11" ht="30" customHeight="1">
      <c r="B4" s="102" t="s">
        <v>2</v>
      </c>
      <c r="C4" s="102" t="s">
        <v>35</v>
      </c>
      <c r="D4" s="102"/>
      <c r="E4" s="102"/>
      <c r="F4" s="102" t="s">
        <v>27</v>
      </c>
      <c r="G4" s="102"/>
      <c r="H4" s="102"/>
      <c r="I4" s="102" t="s">
        <v>1</v>
      </c>
      <c r="J4" s="102"/>
      <c r="K4" s="102"/>
    </row>
    <row r="5" spans="2:11" ht="30" customHeight="1">
      <c r="B5" s="102"/>
      <c r="C5" s="48" t="s">
        <v>0</v>
      </c>
      <c r="D5" s="48" t="s">
        <v>22</v>
      </c>
      <c r="E5" s="48" t="s">
        <v>23</v>
      </c>
      <c r="F5" s="48" t="s">
        <v>0</v>
      </c>
      <c r="G5" s="48" t="s">
        <v>22</v>
      </c>
      <c r="H5" s="48" t="s">
        <v>23</v>
      </c>
      <c r="I5" s="48" t="s">
        <v>0</v>
      </c>
      <c r="J5" s="48" t="s">
        <v>22</v>
      </c>
      <c r="K5" s="48" t="s">
        <v>23</v>
      </c>
    </row>
    <row r="6" spans="2:11" ht="30" customHeight="1" thickBot="1">
      <c r="B6" s="53" t="s">
        <v>6</v>
      </c>
      <c r="C6" s="22">
        <v>0</v>
      </c>
      <c r="D6" s="22">
        <v>0</v>
      </c>
      <c r="E6" s="29">
        <v>0</v>
      </c>
      <c r="F6" s="22">
        <v>100</v>
      </c>
      <c r="G6" s="22">
        <v>4600</v>
      </c>
      <c r="H6" s="29">
        <f>G6/F6</f>
        <v>46</v>
      </c>
      <c r="I6" s="24">
        <f>F6+C6</f>
        <v>100</v>
      </c>
      <c r="J6" s="24">
        <f>G6+D6</f>
        <v>4600</v>
      </c>
      <c r="K6" s="29">
        <f>J6/I6</f>
        <v>46</v>
      </c>
    </row>
    <row r="7" spans="2:11" ht="30" customHeight="1" thickTop="1" thickBot="1">
      <c r="B7" s="53" t="s">
        <v>15</v>
      </c>
      <c r="C7" s="27">
        <v>0</v>
      </c>
      <c r="D7" s="27">
        <v>0</v>
      </c>
      <c r="E7" s="23">
        <v>0</v>
      </c>
      <c r="F7" s="27">
        <v>400</v>
      </c>
      <c r="G7" s="27">
        <v>14800</v>
      </c>
      <c r="H7" s="23">
        <f t="shared" ref="H7:H13" si="0">G7/F7</f>
        <v>37</v>
      </c>
      <c r="I7" s="26">
        <f t="shared" ref="I7:I12" si="1">F7+C7</f>
        <v>400</v>
      </c>
      <c r="J7" s="26">
        <f t="shared" ref="J7:J12" si="2">G7+D7</f>
        <v>14800</v>
      </c>
      <c r="K7" s="23">
        <f t="shared" ref="K7:K13" si="3">J7/I7</f>
        <v>37</v>
      </c>
    </row>
    <row r="8" spans="2:11" ht="30" customHeight="1" thickTop="1" thickBot="1">
      <c r="B8" s="52" t="s">
        <v>12</v>
      </c>
      <c r="C8" s="27">
        <v>6000</v>
      </c>
      <c r="D8" s="27">
        <v>318000</v>
      </c>
      <c r="E8" s="23">
        <f t="shared" ref="E8:E12" si="4">D8/C8</f>
        <v>53</v>
      </c>
      <c r="F8" s="27">
        <v>4000</v>
      </c>
      <c r="G8" s="27">
        <v>252000</v>
      </c>
      <c r="H8" s="23">
        <f t="shared" si="0"/>
        <v>63</v>
      </c>
      <c r="I8" s="26">
        <f t="shared" si="1"/>
        <v>10000</v>
      </c>
      <c r="J8" s="26">
        <f t="shared" si="2"/>
        <v>570000</v>
      </c>
      <c r="K8" s="23">
        <f t="shared" si="3"/>
        <v>57</v>
      </c>
    </row>
    <row r="9" spans="2:11" ht="30" customHeight="1" thickTop="1" thickBot="1">
      <c r="B9" s="52" t="s">
        <v>9</v>
      </c>
      <c r="C9" s="27">
        <v>0</v>
      </c>
      <c r="D9" s="27">
        <v>0</v>
      </c>
      <c r="E9" s="23">
        <v>0</v>
      </c>
      <c r="F9" s="27">
        <v>3300</v>
      </c>
      <c r="G9" s="27">
        <v>128000</v>
      </c>
      <c r="H9" s="23">
        <f t="shared" si="0"/>
        <v>38.787878787878789</v>
      </c>
      <c r="I9" s="26">
        <f t="shared" si="1"/>
        <v>3300</v>
      </c>
      <c r="J9" s="26">
        <f t="shared" si="2"/>
        <v>128000</v>
      </c>
      <c r="K9" s="23">
        <f t="shared" si="3"/>
        <v>38.787878787878789</v>
      </c>
    </row>
    <row r="10" spans="2:11" ht="30" customHeight="1" thickTop="1" thickBot="1">
      <c r="B10" s="52" t="s">
        <v>10</v>
      </c>
      <c r="C10" s="27">
        <v>3500</v>
      </c>
      <c r="D10" s="27">
        <v>126000</v>
      </c>
      <c r="E10" s="23">
        <f t="shared" si="4"/>
        <v>36</v>
      </c>
      <c r="F10" s="27">
        <v>1300</v>
      </c>
      <c r="G10" s="27">
        <v>52000</v>
      </c>
      <c r="H10" s="23">
        <f t="shared" si="0"/>
        <v>40</v>
      </c>
      <c r="I10" s="26">
        <f t="shared" si="1"/>
        <v>4800</v>
      </c>
      <c r="J10" s="26">
        <f t="shared" si="2"/>
        <v>178000</v>
      </c>
      <c r="K10" s="23">
        <f t="shared" si="3"/>
        <v>37.083333333333336</v>
      </c>
    </row>
    <row r="11" spans="2:11" ht="30" customHeight="1" thickTop="1" thickBot="1">
      <c r="B11" s="52" t="s">
        <v>3</v>
      </c>
      <c r="C11" s="27">
        <v>300</v>
      </c>
      <c r="D11" s="27">
        <v>12750</v>
      </c>
      <c r="E11" s="23">
        <f t="shared" si="4"/>
        <v>42.5</v>
      </c>
      <c r="F11" s="27">
        <v>1100</v>
      </c>
      <c r="G11" s="27">
        <v>51700</v>
      </c>
      <c r="H11" s="23">
        <f t="shared" si="0"/>
        <v>47</v>
      </c>
      <c r="I11" s="26">
        <f t="shared" si="1"/>
        <v>1400</v>
      </c>
      <c r="J11" s="26">
        <f t="shared" si="2"/>
        <v>64450</v>
      </c>
      <c r="K11" s="23">
        <f t="shared" si="3"/>
        <v>46.035714285714285</v>
      </c>
    </row>
    <row r="12" spans="2:11" ht="30" customHeight="1" thickTop="1">
      <c r="B12" s="55" t="s">
        <v>11</v>
      </c>
      <c r="C12" s="65">
        <v>7500</v>
      </c>
      <c r="D12" s="65">
        <v>377250</v>
      </c>
      <c r="E12" s="66">
        <f t="shared" si="4"/>
        <v>50.3</v>
      </c>
      <c r="F12" s="65">
        <v>1000</v>
      </c>
      <c r="G12" s="65">
        <v>43500</v>
      </c>
      <c r="H12" s="66">
        <f t="shared" si="0"/>
        <v>43.5</v>
      </c>
      <c r="I12" s="68">
        <f t="shared" si="1"/>
        <v>8500</v>
      </c>
      <c r="J12" s="68">
        <f t="shared" si="2"/>
        <v>420750</v>
      </c>
      <c r="K12" s="66">
        <f t="shared" si="3"/>
        <v>49.5</v>
      </c>
    </row>
    <row r="13" spans="2:11" ht="30" customHeight="1">
      <c r="B13" s="62" t="s">
        <v>13</v>
      </c>
      <c r="C13" s="63">
        <v>17300</v>
      </c>
      <c r="D13" s="63">
        <v>834000</v>
      </c>
      <c r="E13" s="71">
        <f>D13/C13</f>
        <v>48.20809248554913</v>
      </c>
      <c r="F13" s="63">
        <v>11200</v>
      </c>
      <c r="G13" s="63">
        <v>546600</v>
      </c>
      <c r="H13" s="71">
        <f t="shared" si="0"/>
        <v>48.803571428571431</v>
      </c>
      <c r="I13" s="70">
        <f>SUM(I6:I12)</f>
        <v>28500</v>
      </c>
      <c r="J13" s="70">
        <f>SUM(J6:J12)</f>
        <v>1380600</v>
      </c>
      <c r="K13" s="71">
        <f t="shared" si="3"/>
        <v>48.442105263157892</v>
      </c>
    </row>
    <row r="14" spans="2:11" ht="6.75" customHeight="1"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7" spans="2:2">
      <c r="B17" s="4" t="s">
        <v>19</v>
      </c>
    </row>
  </sheetData>
  <mergeCells count="7">
    <mergeCell ref="B1:K1"/>
    <mergeCell ref="B2:K2"/>
    <mergeCell ref="B3:K3"/>
    <mergeCell ref="B4:B5"/>
    <mergeCell ref="C4:E4"/>
    <mergeCell ref="F4:H4"/>
    <mergeCell ref="I4:K4"/>
  </mergeCells>
  <pageMargins left="0.70866141732283472" right="0.70866141732283472" top="0.74803149606299213" bottom="0.74803149606299213" header="0.31496062992125984" footer="0.31496062992125984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15"/>
  <sheetViews>
    <sheetView rightToLeft="1" zoomScaleNormal="100" workbookViewId="0">
      <selection activeCell="A4" sqref="A4:XFD14"/>
    </sheetView>
  </sheetViews>
  <sheetFormatPr defaultRowHeight="15"/>
  <cols>
    <col min="1" max="1" width="1.85546875" style="17" customWidth="1"/>
    <col min="2" max="2" width="21.7109375" style="17" customWidth="1"/>
    <col min="3" max="3" width="9.5703125" style="17" bestFit="1" customWidth="1"/>
    <col min="4" max="4" width="13.7109375" style="17" bestFit="1" customWidth="1"/>
    <col min="5" max="5" width="14.140625" style="17" bestFit="1" customWidth="1"/>
    <col min="6" max="6" width="11.5703125" style="17" bestFit="1" customWidth="1"/>
    <col min="7" max="7" width="13.7109375" style="17" bestFit="1" customWidth="1"/>
    <col min="8" max="8" width="14.140625" style="17" bestFit="1" customWidth="1"/>
    <col min="9" max="9" width="9.5703125" style="17" bestFit="1" customWidth="1"/>
    <col min="10" max="10" width="13.7109375" style="17" bestFit="1" customWidth="1"/>
    <col min="11" max="11" width="9.140625" style="17" customWidth="1"/>
    <col min="12" max="12" width="11.7109375" style="17" customWidth="1"/>
    <col min="13" max="13" width="15.140625" style="17" customWidth="1"/>
    <col min="14" max="14" width="10" style="17" bestFit="1" customWidth="1"/>
    <col min="15" max="208" width="9.140625" style="17"/>
    <col min="209" max="209" width="1.140625" style="17" customWidth="1"/>
    <col min="210" max="210" width="20.42578125" style="17" customWidth="1"/>
    <col min="211" max="219" width="7.5703125" style="17" customWidth="1"/>
    <col min="220" max="464" width="9.140625" style="17"/>
    <col min="465" max="465" width="1.140625" style="17" customWidth="1"/>
    <col min="466" max="466" width="20.42578125" style="17" customWidth="1"/>
    <col min="467" max="475" width="7.5703125" style="17" customWidth="1"/>
    <col min="476" max="720" width="9.140625" style="17"/>
    <col min="721" max="721" width="1.140625" style="17" customWidth="1"/>
    <col min="722" max="722" width="20.42578125" style="17" customWidth="1"/>
    <col min="723" max="731" width="7.5703125" style="17" customWidth="1"/>
    <col min="732" max="976" width="9.140625" style="17"/>
    <col min="977" max="977" width="1.140625" style="17" customWidth="1"/>
    <col min="978" max="978" width="20.42578125" style="17" customWidth="1"/>
    <col min="979" max="987" width="7.5703125" style="17" customWidth="1"/>
    <col min="988" max="1232" width="9.140625" style="17"/>
    <col min="1233" max="1233" width="1.140625" style="17" customWidth="1"/>
    <col min="1234" max="1234" width="20.42578125" style="17" customWidth="1"/>
    <col min="1235" max="1243" width="7.5703125" style="17" customWidth="1"/>
    <col min="1244" max="1488" width="9.140625" style="17"/>
    <col min="1489" max="1489" width="1.140625" style="17" customWidth="1"/>
    <col min="1490" max="1490" width="20.42578125" style="17" customWidth="1"/>
    <col min="1491" max="1499" width="7.5703125" style="17" customWidth="1"/>
    <col min="1500" max="1744" width="9.140625" style="17"/>
    <col min="1745" max="1745" width="1.140625" style="17" customWidth="1"/>
    <col min="1746" max="1746" width="20.42578125" style="17" customWidth="1"/>
    <col min="1747" max="1755" width="7.5703125" style="17" customWidth="1"/>
    <col min="1756" max="2000" width="9.140625" style="17"/>
    <col min="2001" max="2001" width="1.140625" style="17" customWidth="1"/>
    <col min="2002" max="2002" width="20.42578125" style="17" customWidth="1"/>
    <col min="2003" max="2011" width="7.5703125" style="17" customWidth="1"/>
    <col min="2012" max="2256" width="9.140625" style="17"/>
    <col min="2257" max="2257" width="1.140625" style="17" customWidth="1"/>
    <col min="2258" max="2258" width="20.42578125" style="17" customWidth="1"/>
    <col min="2259" max="2267" width="7.5703125" style="17" customWidth="1"/>
    <col min="2268" max="2512" width="9.140625" style="17"/>
    <col min="2513" max="2513" width="1.140625" style="17" customWidth="1"/>
    <col min="2514" max="2514" width="20.42578125" style="17" customWidth="1"/>
    <col min="2515" max="2523" width="7.5703125" style="17" customWidth="1"/>
    <col min="2524" max="2768" width="9.140625" style="17"/>
    <col min="2769" max="2769" width="1.140625" style="17" customWidth="1"/>
    <col min="2770" max="2770" width="20.42578125" style="17" customWidth="1"/>
    <col min="2771" max="2779" width="7.5703125" style="17" customWidth="1"/>
    <col min="2780" max="3024" width="9.140625" style="17"/>
    <col min="3025" max="3025" width="1.140625" style="17" customWidth="1"/>
    <col min="3026" max="3026" width="20.42578125" style="17" customWidth="1"/>
    <col min="3027" max="3035" width="7.5703125" style="17" customWidth="1"/>
    <col min="3036" max="3280" width="9.140625" style="17"/>
    <col min="3281" max="3281" width="1.140625" style="17" customWidth="1"/>
    <col min="3282" max="3282" width="20.42578125" style="17" customWidth="1"/>
    <col min="3283" max="3291" width="7.5703125" style="17" customWidth="1"/>
    <col min="3292" max="3536" width="9.140625" style="17"/>
    <col min="3537" max="3537" width="1.140625" style="17" customWidth="1"/>
    <col min="3538" max="3538" width="20.42578125" style="17" customWidth="1"/>
    <col min="3539" max="3547" width="7.5703125" style="17" customWidth="1"/>
    <col min="3548" max="3792" width="9.140625" style="17"/>
    <col min="3793" max="3793" width="1.140625" style="17" customWidth="1"/>
    <col min="3794" max="3794" width="20.42578125" style="17" customWidth="1"/>
    <col min="3795" max="3803" width="7.5703125" style="17" customWidth="1"/>
    <col min="3804" max="4048" width="9.140625" style="17"/>
    <col min="4049" max="4049" width="1.140625" style="17" customWidth="1"/>
    <col min="4050" max="4050" width="20.42578125" style="17" customWidth="1"/>
    <col min="4051" max="4059" width="7.5703125" style="17" customWidth="1"/>
    <col min="4060" max="4304" width="9.140625" style="17"/>
    <col min="4305" max="4305" width="1.140625" style="17" customWidth="1"/>
    <col min="4306" max="4306" width="20.42578125" style="17" customWidth="1"/>
    <col min="4307" max="4315" width="7.5703125" style="17" customWidth="1"/>
    <col min="4316" max="4560" width="9.140625" style="17"/>
    <col min="4561" max="4561" width="1.140625" style="17" customWidth="1"/>
    <col min="4562" max="4562" width="20.42578125" style="17" customWidth="1"/>
    <col min="4563" max="4571" width="7.5703125" style="17" customWidth="1"/>
    <col min="4572" max="4816" width="9.140625" style="17"/>
    <col min="4817" max="4817" width="1.140625" style="17" customWidth="1"/>
    <col min="4818" max="4818" width="20.42578125" style="17" customWidth="1"/>
    <col min="4819" max="4827" width="7.5703125" style="17" customWidth="1"/>
    <col min="4828" max="5072" width="9.140625" style="17"/>
    <col min="5073" max="5073" width="1.140625" style="17" customWidth="1"/>
    <col min="5074" max="5074" width="20.42578125" style="17" customWidth="1"/>
    <col min="5075" max="5083" width="7.5703125" style="17" customWidth="1"/>
    <col min="5084" max="5328" width="9.140625" style="17"/>
    <col min="5329" max="5329" width="1.140625" style="17" customWidth="1"/>
    <col min="5330" max="5330" width="20.42578125" style="17" customWidth="1"/>
    <col min="5331" max="5339" width="7.5703125" style="17" customWidth="1"/>
    <col min="5340" max="5584" width="9.140625" style="17"/>
    <col min="5585" max="5585" width="1.140625" style="17" customWidth="1"/>
    <col min="5586" max="5586" width="20.42578125" style="17" customWidth="1"/>
    <col min="5587" max="5595" width="7.5703125" style="17" customWidth="1"/>
    <col min="5596" max="5840" width="9.140625" style="17"/>
    <col min="5841" max="5841" width="1.140625" style="17" customWidth="1"/>
    <col min="5842" max="5842" width="20.42578125" style="17" customWidth="1"/>
    <col min="5843" max="5851" width="7.5703125" style="17" customWidth="1"/>
    <col min="5852" max="6096" width="9.140625" style="17"/>
    <col min="6097" max="6097" width="1.140625" style="17" customWidth="1"/>
    <col min="6098" max="6098" width="20.42578125" style="17" customWidth="1"/>
    <col min="6099" max="6107" width="7.5703125" style="17" customWidth="1"/>
    <col min="6108" max="6352" width="9.140625" style="17"/>
    <col min="6353" max="6353" width="1.140625" style="17" customWidth="1"/>
    <col min="6354" max="6354" width="20.42578125" style="17" customWidth="1"/>
    <col min="6355" max="6363" width="7.5703125" style="17" customWidth="1"/>
    <col min="6364" max="6608" width="9.140625" style="17"/>
    <col min="6609" max="6609" width="1.140625" style="17" customWidth="1"/>
    <col min="6610" max="6610" width="20.42578125" style="17" customWidth="1"/>
    <col min="6611" max="6619" width="7.5703125" style="17" customWidth="1"/>
    <col min="6620" max="6864" width="9.140625" style="17"/>
    <col min="6865" max="6865" width="1.140625" style="17" customWidth="1"/>
    <col min="6866" max="6866" width="20.42578125" style="17" customWidth="1"/>
    <col min="6867" max="6875" width="7.5703125" style="17" customWidth="1"/>
    <col min="6876" max="7120" width="9.140625" style="17"/>
    <col min="7121" max="7121" width="1.140625" style="17" customWidth="1"/>
    <col min="7122" max="7122" width="20.42578125" style="17" customWidth="1"/>
    <col min="7123" max="7131" width="7.5703125" style="17" customWidth="1"/>
    <col min="7132" max="7376" width="9.140625" style="17"/>
    <col min="7377" max="7377" width="1.140625" style="17" customWidth="1"/>
    <col min="7378" max="7378" width="20.42578125" style="17" customWidth="1"/>
    <col min="7379" max="7387" width="7.5703125" style="17" customWidth="1"/>
    <col min="7388" max="7632" width="9.140625" style="17"/>
    <col min="7633" max="7633" width="1.140625" style="17" customWidth="1"/>
    <col min="7634" max="7634" width="20.42578125" style="17" customWidth="1"/>
    <col min="7635" max="7643" width="7.5703125" style="17" customWidth="1"/>
    <col min="7644" max="7888" width="9.140625" style="17"/>
    <col min="7889" max="7889" width="1.140625" style="17" customWidth="1"/>
    <col min="7890" max="7890" width="20.42578125" style="17" customWidth="1"/>
    <col min="7891" max="7899" width="7.5703125" style="17" customWidth="1"/>
    <col min="7900" max="8144" width="9.140625" style="17"/>
    <col min="8145" max="8145" width="1.140625" style="17" customWidth="1"/>
    <col min="8146" max="8146" width="20.42578125" style="17" customWidth="1"/>
    <col min="8147" max="8155" width="7.5703125" style="17" customWidth="1"/>
    <col min="8156" max="8400" width="9.140625" style="17"/>
    <col min="8401" max="8401" width="1.140625" style="17" customWidth="1"/>
    <col min="8402" max="8402" width="20.42578125" style="17" customWidth="1"/>
    <col min="8403" max="8411" width="7.5703125" style="17" customWidth="1"/>
    <col min="8412" max="8656" width="9.140625" style="17"/>
    <col min="8657" max="8657" width="1.140625" style="17" customWidth="1"/>
    <col min="8658" max="8658" width="20.42578125" style="17" customWidth="1"/>
    <col min="8659" max="8667" width="7.5703125" style="17" customWidth="1"/>
    <col min="8668" max="8912" width="9.140625" style="17"/>
    <col min="8913" max="8913" width="1.140625" style="17" customWidth="1"/>
    <col min="8914" max="8914" width="20.42578125" style="17" customWidth="1"/>
    <col min="8915" max="8923" width="7.5703125" style="17" customWidth="1"/>
    <col min="8924" max="9168" width="9.140625" style="17"/>
    <col min="9169" max="9169" width="1.140625" style="17" customWidth="1"/>
    <col min="9170" max="9170" width="20.42578125" style="17" customWidth="1"/>
    <col min="9171" max="9179" width="7.5703125" style="17" customWidth="1"/>
    <col min="9180" max="9424" width="9.140625" style="17"/>
    <col min="9425" max="9425" width="1.140625" style="17" customWidth="1"/>
    <col min="9426" max="9426" width="20.42578125" style="17" customWidth="1"/>
    <col min="9427" max="9435" width="7.5703125" style="17" customWidth="1"/>
    <col min="9436" max="9680" width="9.140625" style="17"/>
    <col min="9681" max="9681" width="1.140625" style="17" customWidth="1"/>
    <col min="9682" max="9682" width="20.42578125" style="17" customWidth="1"/>
    <col min="9683" max="9691" width="7.5703125" style="17" customWidth="1"/>
    <col min="9692" max="9936" width="9.140625" style="17"/>
    <col min="9937" max="9937" width="1.140625" style="17" customWidth="1"/>
    <col min="9938" max="9938" width="20.42578125" style="17" customWidth="1"/>
    <col min="9939" max="9947" width="7.5703125" style="17" customWidth="1"/>
    <col min="9948" max="10192" width="9.140625" style="17"/>
    <col min="10193" max="10193" width="1.140625" style="17" customWidth="1"/>
    <col min="10194" max="10194" width="20.42578125" style="17" customWidth="1"/>
    <col min="10195" max="10203" width="7.5703125" style="17" customWidth="1"/>
    <col min="10204" max="10448" width="9.140625" style="17"/>
    <col min="10449" max="10449" width="1.140625" style="17" customWidth="1"/>
    <col min="10450" max="10450" width="20.42578125" style="17" customWidth="1"/>
    <col min="10451" max="10459" width="7.5703125" style="17" customWidth="1"/>
    <col min="10460" max="10704" width="9.140625" style="17"/>
    <col min="10705" max="10705" width="1.140625" style="17" customWidth="1"/>
    <col min="10706" max="10706" width="20.42578125" style="17" customWidth="1"/>
    <col min="10707" max="10715" width="7.5703125" style="17" customWidth="1"/>
    <col min="10716" max="10960" width="9.140625" style="17"/>
    <col min="10961" max="10961" width="1.140625" style="17" customWidth="1"/>
    <col min="10962" max="10962" width="20.42578125" style="17" customWidth="1"/>
    <col min="10963" max="10971" width="7.5703125" style="17" customWidth="1"/>
    <col min="10972" max="11216" width="9.140625" style="17"/>
    <col min="11217" max="11217" width="1.140625" style="17" customWidth="1"/>
    <col min="11218" max="11218" width="20.42578125" style="17" customWidth="1"/>
    <col min="11219" max="11227" width="7.5703125" style="17" customWidth="1"/>
    <col min="11228" max="11472" width="9.140625" style="17"/>
    <col min="11473" max="11473" width="1.140625" style="17" customWidth="1"/>
    <col min="11474" max="11474" width="20.42578125" style="17" customWidth="1"/>
    <col min="11475" max="11483" width="7.5703125" style="17" customWidth="1"/>
    <col min="11484" max="11728" width="9.140625" style="17"/>
    <col min="11729" max="11729" width="1.140625" style="17" customWidth="1"/>
    <col min="11730" max="11730" width="20.42578125" style="17" customWidth="1"/>
    <col min="11731" max="11739" width="7.5703125" style="17" customWidth="1"/>
    <col min="11740" max="11984" width="9.140625" style="17"/>
    <col min="11985" max="11985" width="1.140625" style="17" customWidth="1"/>
    <col min="11986" max="11986" width="20.42578125" style="17" customWidth="1"/>
    <col min="11987" max="11995" width="7.5703125" style="17" customWidth="1"/>
    <col min="11996" max="12240" width="9.140625" style="17"/>
    <col min="12241" max="12241" width="1.140625" style="17" customWidth="1"/>
    <col min="12242" max="12242" width="20.42578125" style="17" customWidth="1"/>
    <col min="12243" max="12251" width="7.5703125" style="17" customWidth="1"/>
    <col min="12252" max="12496" width="9.140625" style="17"/>
    <col min="12497" max="12497" width="1.140625" style="17" customWidth="1"/>
    <col min="12498" max="12498" width="20.42578125" style="17" customWidth="1"/>
    <col min="12499" max="12507" width="7.5703125" style="17" customWidth="1"/>
    <col min="12508" max="12752" width="9.140625" style="17"/>
    <col min="12753" max="12753" width="1.140625" style="17" customWidth="1"/>
    <col min="12754" max="12754" width="20.42578125" style="17" customWidth="1"/>
    <col min="12755" max="12763" width="7.5703125" style="17" customWidth="1"/>
    <col min="12764" max="13008" width="9.140625" style="17"/>
    <col min="13009" max="13009" width="1.140625" style="17" customWidth="1"/>
    <col min="13010" max="13010" width="20.42578125" style="17" customWidth="1"/>
    <col min="13011" max="13019" width="7.5703125" style="17" customWidth="1"/>
    <col min="13020" max="13264" width="9.140625" style="17"/>
    <col min="13265" max="13265" width="1.140625" style="17" customWidth="1"/>
    <col min="13266" max="13266" width="20.42578125" style="17" customWidth="1"/>
    <col min="13267" max="13275" width="7.5703125" style="17" customWidth="1"/>
    <col min="13276" max="13520" width="9.140625" style="17"/>
    <col min="13521" max="13521" width="1.140625" style="17" customWidth="1"/>
    <col min="13522" max="13522" width="20.42578125" style="17" customWidth="1"/>
    <col min="13523" max="13531" width="7.5703125" style="17" customWidth="1"/>
    <col min="13532" max="13776" width="9.140625" style="17"/>
    <col min="13777" max="13777" width="1.140625" style="17" customWidth="1"/>
    <col min="13778" max="13778" width="20.42578125" style="17" customWidth="1"/>
    <col min="13779" max="13787" width="7.5703125" style="17" customWidth="1"/>
    <col min="13788" max="14032" width="9.140625" style="17"/>
    <col min="14033" max="14033" width="1.140625" style="17" customWidth="1"/>
    <col min="14034" max="14034" width="20.42578125" style="17" customWidth="1"/>
    <col min="14035" max="14043" width="7.5703125" style="17" customWidth="1"/>
    <col min="14044" max="14288" width="9.140625" style="17"/>
    <col min="14289" max="14289" width="1.140625" style="17" customWidth="1"/>
    <col min="14290" max="14290" width="20.42578125" style="17" customWidth="1"/>
    <col min="14291" max="14299" width="7.5703125" style="17" customWidth="1"/>
    <col min="14300" max="14544" width="9.140625" style="17"/>
    <col min="14545" max="14545" width="1.140625" style="17" customWidth="1"/>
    <col min="14546" max="14546" width="20.42578125" style="17" customWidth="1"/>
    <col min="14547" max="14555" width="7.5703125" style="17" customWidth="1"/>
    <col min="14556" max="14800" width="9.140625" style="17"/>
    <col min="14801" max="14801" width="1.140625" style="17" customWidth="1"/>
    <col min="14802" max="14802" width="20.42578125" style="17" customWidth="1"/>
    <col min="14803" max="14811" width="7.5703125" style="17" customWidth="1"/>
    <col min="14812" max="15056" width="9.140625" style="17"/>
    <col min="15057" max="15057" width="1.140625" style="17" customWidth="1"/>
    <col min="15058" max="15058" width="20.42578125" style="17" customWidth="1"/>
    <col min="15059" max="15067" width="7.5703125" style="17" customWidth="1"/>
    <col min="15068" max="15312" width="9.140625" style="17"/>
    <col min="15313" max="15313" width="1.140625" style="17" customWidth="1"/>
    <col min="15314" max="15314" width="20.42578125" style="17" customWidth="1"/>
    <col min="15315" max="15323" width="7.5703125" style="17" customWidth="1"/>
    <col min="15324" max="15568" width="9.140625" style="17"/>
    <col min="15569" max="15569" width="1.140625" style="17" customWidth="1"/>
    <col min="15570" max="15570" width="20.42578125" style="17" customWidth="1"/>
    <col min="15571" max="15579" width="7.5703125" style="17" customWidth="1"/>
    <col min="15580" max="15824" width="9.140625" style="17"/>
    <col min="15825" max="15825" width="1.140625" style="17" customWidth="1"/>
    <col min="15826" max="15826" width="20.42578125" style="17" customWidth="1"/>
    <col min="15827" max="15835" width="7.5703125" style="17" customWidth="1"/>
    <col min="15836" max="16080" width="9.140625" style="17"/>
    <col min="16081" max="16081" width="1.140625" style="17" customWidth="1"/>
    <col min="16082" max="16082" width="20.42578125" style="17" customWidth="1"/>
    <col min="16083" max="16091" width="7.5703125" style="17" customWidth="1"/>
    <col min="16092" max="16333" width="9.140625" style="17"/>
    <col min="16334" max="16336" width="9" style="17" customWidth="1"/>
    <col min="16337" max="16384" width="9.140625" style="17"/>
  </cols>
  <sheetData>
    <row r="1" spans="2:14" ht="10.5" customHeight="1"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2:14" ht="18.75" customHeight="1">
      <c r="B2" s="104" t="s">
        <v>38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2:14" ht="17.25">
      <c r="B3" s="105" t="s">
        <v>8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</row>
    <row r="4" spans="2:14" ht="30" customHeight="1">
      <c r="B4" s="100" t="s">
        <v>2</v>
      </c>
      <c r="C4" s="100" t="s">
        <v>28</v>
      </c>
      <c r="D4" s="100"/>
      <c r="E4" s="100"/>
      <c r="F4" s="100" t="s">
        <v>29</v>
      </c>
      <c r="G4" s="100"/>
      <c r="H4" s="100"/>
      <c r="I4" s="100" t="s">
        <v>27</v>
      </c>
      <c r="J4" s="100"/>
      <c r="K4" s="100"/>
      <c r="L4" s="100" t="s">
        <v>30</v>
      </c>
      <c r="M4" s="100"/>
      <c r="N4" s="100"/>
    </row>
    <row r="5" spans="2:14" ht="30" customHeight="1">
      <c r="B5" s="100"/>
      <c r="C5" s="49" t="s">
        <v>0</v>
      </c>
      <c r="D5" s="49" t="s">
        <v>22</v>
      </c>
      <c r="E5" s="49" t="s">
        <v>23</v>
      </c>
      <c r="F5" s="49" t="s">
        <v>0</v>
      </c>
      <c r="G5" s="49" t="s">
        <v>22</v>
      </c>
      <c r="H5" s="49" t="s">
        <v>23</v>
      </c>
      <c r="I5" s="49" t="s">
        <v>0</v>
      </c>
      <c r="J5" s="49" t="s">
        <v>22</v>
      </c>
      <c r="K5" s="49" t="s">
        <v>23</v>
      </c>
      <c r="L5" s="49" t="s">
        <v>0</v>
      </c>
      <c r="M5" s="49" t="s">
        <v>22</v>
      </c>
      <c r="N5" s="49" t="s">
        <v>23</v>
      </c>
    </row>
    <row r="6" spans="2:14" ht="30" customHeight="1" thickBot="1">
      <c r="B6" s="53" t="s">
        <v>6</v>
      </c>
      <c r="C6" s="32">
        <v>5</v>
      </c>
      <c r="D6" s="32">
        <v>205</v>
      </c>
      <c r="E6" s="54">
        <f t="shared" ref="E6:E13" si="0">D6/C6</f>
        <v>41</v>
      </c>
      <c r="F6" s="32">
        <v>0</v>
      </c>
      <c r="G6" s="32">
        <v>0</v>
      </c>
      <c r="H6" s="54">
        <v>0</v>
      </c>
      <c r="I6" s="32">
        <v>100</v>
      </c>
      <c r="J6" s="32">
        <v>3200</v>
      </c>
      <c r="K6" s="54">
        <f>J6/I6</f>
        <v>32</v>
      </c>
      <c r="L6" s="33">
        <f>I6+F6+C6</f>
        <v>105</v>
      </c>
      <c r="M6" s="33">
        <f>J6+G6+D6</f>
        <v>3405</v>
      </c>
      <c r="N6" s="34">
        <f>M6/L6</f>
        <v>32.428571428571431</v>
      </c>
    </row>
    <row r="7" spans="2:14" ht="30" customHeight="1" thickTop="1" thickBot="1">
      <c r="B7" s="52" t="s">
        <v>20</v>
      </c>
      <c r="C7" s="30">
        <v>1500</v>
      </c>
      <c r="D7" s="30">
        <v>84000</v>
      </c>
      <c r="E7" s="31">
        <f t="shared" si="0"/>
        <v>56</v>
      </c>
      <c r="F7" s="30">
        <v>9500</v>
      </c>
      <c r="G7" s="30">
        <v>532000</v>
      </c>
      <c r="H7" s="31">
        <f>G7/F7</f>
        <v>56</v>
      </c>
      <c r="I7" s="30">
        <v>500</v>
      </c>
      <c r="J7" s="30">
        <v>28000</v>
      </c>
      <c r="K7" s="31">
        <f t="shared" ref="K7:K14" si="1">J7/I7</f>
        <v>56</v>
      </c>
      <c r="L7" s="33">
        <f t="shared" ref="L7:L13" si="2">I7+F7+C7</f>
        <v>11500</v>
      </c>
      <c r="M7" s="33">
        <f t="shared" ref="M7:M13" si="3">J7+G7+D7</f>
        <v>644000</v>
      </c>
      <c r="N7" s="34">
        <f t="shared" ref="N7:N14" si="4">M7/L7</f>
        <v>56</v>
      </c>
    </row>
    <row r="8" spans="2:14" ht="30" customHeight="1" thickTop="1" thickBot="1">
      <c r="B8" s="52" t="s">
        <v>14</v>
      </c>
      <c r="C8" s="30">
        <v>0</v>
      </c>
      <c r="D8" s="30">
        <v>0</v>
      </c>
      <c r="E8" s="31">
        <v>0</v>
      </c>
      <c r="F8" s="30">
        <v>200</v>
      </c>
      <c r="G8" s="30">
        <v>7200</v>
      </c>
      <c r="H8" s="31">
        <f t="shared" ref="H8:H14" si="5">G8/F8</f>
        <v>36</v>
      </c>
      <c r="I8" s="30">
        <v>9800</v>
      </c>
      <c r="J8" s="30">
        <v>401800</v>
      </c>
      <c r="K8" s="31">
        <f t="shared" si="1"/>
        <v>41</v>
      </c>
      <c r="L8" s="33">
        <f t="shared" si="2"/>
        <v>10000</v>
      </c>
      <c r="M8" s="33">
        <f t="shared" si="3"/>
        <v>409000</v>
      </c>
      <c r="N8" s="34">
        <f t="shared" si="4"/>
        <v>40.9</v>
      </c>
    </row>
    <row r="9" spans="2:14" ht="30" customHeight="1" thickTop="1" thickBot="1">
      <c r="B9" s="52" t="s">
        <v>9</v>
      </c>
      <c r="C9" s="30">
        <v>1100</v>
      </c>
      <c r="D9" s="30">
        <v>41800</v>
      </c>
      <c r="E9" s="31">
        <f t="shared" si="0"/>
        <v>38</v>
      </c>
      <c r="F9" s="30">
        <v>0</v>
      </c>
      <c r="G9" s="30">
        <v>0</v>
      </c>
      <c r="H9" s="31">
        <v>0</v>
      </c>
      <c r="I9" s="30">
        <v>3700</v>
      </c>
      <c r="J9" s="30">
        <v>155000</v>
      </c>
      <c r="K9" s="31">
        <f t="shared" si="1"/>
        <v>41.891891891891895</v>
      </c>
      <c r="L9" s="33">
        <f t="shared" si="2"/>
        <v>4800</v>
      </c>
      <c r="M9" s="33">
        <f t="shared" si="3"/>
        <v>196800</v>
      </c>
      <c r="N9" s="34">
        <f t="shared" si="4"/>
        <v>41</v>
      </c>
    </row>
    <row r="10" spans="2:14" ht="30" customHeight="1" thickTop="1" thickBot="1">
      <c r="B10" s="52" t="s">
        <v>7</v>
      </c>
      <c r="C10" s="30">
        <v>250</v>
      </c>
      <c r="D10" s="30">
        <v>10250</v>
      </c>
      <c r="E10" s="31">
        <f t="shared" si="0"/>
        <v>41</v>
      </c>
      <c r="F10" s="30">
        <v>1300</v>
      </c>
      <c r="G10" s="30">
        <v>53300</v>
      </c>
      <c r="H10" s="31">
        <f t="shared" si="5"/>
        <v>41</v>
      </c>
      <c r="I10" s="30">
        <v>280</v>
      </c>
      <c r="J10" s="30">
        <v>11480</v>
      </c>
      <c r="K10" s="31">
        <f t="shared" si="1"/>
        <v>41</v>
      </c>
      <c r="L10" s="33">
        <f t="shared" si="2"/>
        <v>1830</v>
      </c>
      <c r="M10" s="33">
        <f t="shared" si="3"/>
        <v>75030</v>
      </c>
      <c r="N10" s="34">
        <f t="shared" si="4"/>
        <v>41</v>
      </c>
    </row>
    <row r="11" spans="2:14" ht="30" customHeight="1" thickTop="1" thickBot="1">
      <c r="B11" s="52" t="s">
        <v>3</v>
      </c>
      <c r="C11" s="30">
        <v>4000</v>
      </c>
      <c r="D11" s="30">
        <v>212000</v>
      </c>
      <c r="E11" s="31">
        <f t="shared" si="0"/>
        <v>53</v>
      </c>
      <c r="F11" s="30">
        <v>1150</v>
      </c>
      <c r="G11" s="30">
        <v>58500</v>
      </c>
      <c r="H11" s="31">
        <f t="shared" si="5"/>
        <v>50.869565217391305</v>
      </c>
      <c r="I11" s="30">
        <v>6000</v>
      </c>
      <c r="J11" s="30">
        <v>375000</v>
      </c>
      <c r="K11" s="31">
        <f t="shared" si="1"/>
        <v>62.5</v>
      </c>
      <c r="L11" s="33">
        <f t="shared" si="2"/>
        <v>11150</v>
      </c>
      <c r="M11" s="33">
        <f t="shared" si="3"/>
        <v>645500</v>
      </c>
      <c r="N11" s="34">
        <f t="shared" si="4"/>
        <v>57.892376681614351</v>
      </c>
    </row>
    <row r="12" spans="2:14" ht="30" customHeight="1" thickTop="1" thickBot="1">
      <c r="B12" s="52" t="s">
        <v>11</v>
      </c>
      <c r="C12" s="30">
        <v>800</v>
      </c>
      <c r="D12" s="30">
        <v>38400</v>
      </c>
      <c r="E12" s="31">
        <f t="shared" si="0"/>
        <v>48</v>
      </c>
      <c r="F12" s="30">
        <v>10900</v>
      </c>
      <c r="G12" s="30">
        <v>555900</v>
      </c>
      <c r="H12" s="31">
        <f t="shared" si="5"/>
        <v>51</v>
      </c>
      <c r="I12" s="30">
        <v>2800</v>
      </c>
      <c r="J12" s="30">
        <v>134400</v>
      </c>
      <c r="K12" s="31">
        <f t="shared" si="1"/>
        <v>48</v>
      </c>
      <c r="L12" s="33">
        <f t="shared" si="2"/>
        <v>14500</v>
      </c>
      <c r="M12" s="33">
        <f t="shared" si="3"/>
        <v>728700</v>
      </c>
      <c r="N12" s="34">
        <f t="shared" si="4"/>
        <v>50.255172413793105</v>
      </c>
    </row>
    <row r="13" spans="2:14" ht="30" customHeight="1" thickTop="1">
      <c r="B13" s="55" t="s">
        <v>21</v>
      </c>
      <c r="C13" s="56">
        <v>300</v>
      </c>
      <c r="D13" s="56">
        <v>18000</v>
      </c>
      <c r="E13" s="57">
        <f t="shared" si="0"/>
        <v>60</v>
      </c>
      <c r="F13" s="56">
        <v>0</v>
      </c>
      <c r="G13" s="56">
        <v>0</v>
      </c>
      <c r="H13" s="57">
        <v>0</v>
      </c>
      <c r="I13" s="56">
        <v>100</v>
      </c>
      <c r="J13" s="56">
        <v>5500</v>
      </c>
      <c r="K13" s="57">
        <f t="shared" si="1"/>
        <v>55</v>
      </c>
      <c r="L13" s="58">
        <f t="shared" si="2"/>
        <v>400</v>
      </c>
      <c r="M13" s="58">
        <f t="shared" si="3"/>
        <v>23500</v>
      </c>
      <c r="N13" s="59">
        <f t="shared" si="4"/>
        <v>58.75</v>
      </c>
    </row>
    <row r="14" spans="2:14" ht="30" customHeight="1">
      <c r="B14" s="62" t="s">
        <v>13</v>
      </c>
      <c r="C14" s="63">
        <f>SUM(C6:C13)</f>
        <v>7955</v>
      </c>
      <c r="D14" s="63">
        <f>SUM(D6:D13)</f>
        <v>404655</v>
      </c>
      <c r="E14" s="64">
        <f>D14/C14</f>
        <v>50.868007542426149</v>
      </c>
      <c r="F14" s="63">
        <f>SUM(F6:F13)</f>
        <v>23050</v>
      </c>
      <c r="G14" s="63">
        <f>SUM(G6:G13)</f>
        <v>1206900</v>
      </c>
      <c r="H14" s="64">
        <f t="shared" si="5"/>
        <v>52.360086767895879</v>
      </c>
      <c r="I14" s="63">
        <f>SUM(I6:I13)</f>
        <v>23280</v>
      </c>
      <c r="J14" s="63">
        <f>SUM(J6:J13)</f>
        <v>1114380</v>
      </c>
      <c r="K14" s="64">
        <f t="shared" si="1"/>
        <v>47.868556701030926</v>
      </c>
      <c r="L14" s="63">
        <f>SUM(L6:L13)</f>
        <v>54285</v>
      </c>
      <c r="M14" s="63">
        <f>SUM(M6:M13)</f>
        <v>2725935</v>
      </c>
      <c r="N14" s="43">
        <f t="shared" si="4"/>
        <v>50.215252832274111</v>
      </c>
    </row>
    <row r="15" spans="2:14">
      <c r="B15" s="103"/>
      <c r="C15" s="103"/>
      <c r="D15" s="103"/>
      <c r="E15" s="103"/>
      <c r="F15" s="103"/>
      <c r="G15" s="103"/>
      <c r="H15" s="103"/>
      <c r="I15" s="103"/>
      <c r="J15" s="103"/>
      <c r="K15" s="60"/>
      <c r="L15" s="61"/>
      <c r="M15" s="61"/>
    </row>
  </sheetData>
  <mergeCells count="9">
    <mergeCell ref="B15:J15"/>
    <mergeCell ref="C4:E4"/>
    <mergeCell ref="F4:H4"/>
    <mergeCell ref="B1:M1"/>
    <mergeCell ref="B2:M2"/>
    <mergeCell ref="B3:M3"/>
    <mergeCell ref="B4:B5"/>
    <mergeCell ref="I4:K4"/>
    <mergeCell ref="L4:N4"/>
  </mergeCells>
  <pageMargins left="0.70866141732283472" right="0.70866141732283472" top="0.74803149606299213" bottom="0.74803149606299213" header="0.31496062992125984" footer="0.31496062992125984"/>
  <pageSetup scale="73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14"/>
  <sheetViews>
    <sheetView rightToLeft="1" zoomScaleNormal="100" workbookViewId="0">
      <selection activeCell="A4" sqref="A4:XFD14"/>
    </sheetView>
  </sheetViews>
  <sheetFormatPr defaultRowHeight="15"/>
  <cols>
    <col min="1" max="1" width="1.85546875" style="17" customWidth="1"/>
    <col min="2" max="2" width="14.85546875" style="17" customWidth="1"/>
    <col min="3" max="3" width="8" style="17" bestFit="1" customWidth="1"/>
    <col min="4" max="4" width="11.28515625" style="17" bestFit="1" customWidth="1"/>
    <col min="5" max="5" width="7" style="17" bestFit="1" customWidth="1"/>
    <col min="6" max="6" width="8" style="17" bestFit="1" customWidth="1"/>
    <col min="7" max="7" width="11.28515625" style="17" bestFit="1" customWidth="1"/>
    <col min="8" max="8" width="7" style="17" bestFit="1" customWidth="1"/>
    <col min="9" max="9" width="8" style="17" bestFit="1" customWidth="1"/>
    <col min="10" max="10" width="9.7109375" style="17" bestFit="1" customWidth="1"/>
    <col min="11" max="11" width="7.28515625" style="17" bestFit="1" customWidth="1"/>
    <col min="12" max="12" width="9.7109375" style="17" bestFit="1" customWidth="1"/>
    <col min="13" max="13" width="11.28515625" style="17" bestFit="1" customWidth="1"/>
    <col min="14" max="208" width="9.140625" style="17"/>
    <col min="209" max="209" width="1.140625" style="17" customWidth="1"/>
    <col min="210" max="210" width="20.42578125" style="17" customWidth="1"/>
    <col min="211" max="219" width="7.5703125" style="17" customWidth="1"/>
    <col min="220" max="464" width="9.140625" style="17"/>
    <col min="465" max="465" width="1.140625" style="17" customWidth="1"/>
    <col min="466" max="466" width="20.42578125" style="17" customWidth="1"/>
    <col min="467" max="475" width="7.5703125" style="17" customWidth="1"/>
    <col min="476" max="720" width="9.140625" style="17"/>
    <col min="721" max="721" width="1.140625" style="17" customWidth="1"/>
    <col min="722" max="722" width="20.42578125" style="17" customWidth="1"/>
    <col min="723" max="731" width="7.5703125" style="17" customWidth="1"/>
    <col min="732" max="976" width="9.140625" style="17"/>
    <col min="977" max="977" width="1.140625" style="17" customWidth="1"/>
    <col min="978" max="978" width="20.42578125" style="17" customWidth="1"/>
    <col min="979" max="987" width="7.5703125" style="17" customWidth="1"/>
    <col min="988" max="1232" width="9.140625" style="17"/>
    <col min="1233" max="1233" width="1.140625" style="17" customWidth="1"/>
    <col min="1234" max="1234" width="20.42578125" style="17" customWidth="1"/>
    <col min="1235" max="1243" width="7.5703125" style="17" customWidth="1"/>
    <col min="1244" max="1488" width="9.140625" style="17"/>
    <col min="1489" max="1489" width="1.140625" style="17" customWidth="1"/>
    <col min="1490" max="1490" width="20.42578125" style="17" customWidth="1"/>
    <col min="1491" max="1499" width="7.5703125" style="17" customWidth="1"/>
    <col min="1500" max="1744" width="9.140625" style="17"/>
    <col min="1745" max="1745" width="1.140625" style="17" customWidth="1"/>
    <col min="1746" max="1746" width="20.42578125" style="17" customWidth="1"/>
    <col min="1747" max="1755" width="7.5703125" style="17" customWidth="1"/>
    <col min="1756" max="2000" width="9.140625" style="17"/>
    <col min="2001" max="2001" width="1.140625" style="17" customWidth="1"/>
    <col min="2002" max="2002" width="20.42578125" style="17" customWidth="1"/>
    <col min="2003" max="2011" width="7.5703125" style="17" customWidth="1"/>
    <col min="2012" max="2256" width="9.140625" style="17"/>
    <col min="2257" max="2257" width="1.140625" style="17" customWidth="1"/>
    <col min="2258" max="2258" width="20.42578125" style="17" customWidth="1"/>
    <col min="2259" max="2267" width="7.5703125" style="17" customWidth="1"/>
    <col min="2268" max="2512" width="9.140625" style="17"/>
    <col min="2513" max="2513" width="1.140625" style="17" customWidth="1"/>
    <col min="2514" max="2514" width="20.42578125" style="17" customWidth="1"/>
    <col min="2515" max="2523" width="7.5703125" style="17" customWidth="1"/>
    <col min="2524" max="2768" width="9.140625" style="17"/>
    <col min="2769" max="2769" width="1.140625" style="17" customWidth="1"/>
    <col min="2770" max="2770" width="20.42578125" style="17" customWidth="1"/>
    <col min="2771" max="2779" width="7.5703125" style="17" customWidth="1"/>
    <col min="2780" max="3024" width="9.140625" style="17"/>
    <col min="3025" max="3025" width="1.140625" style="17" customWidth="1"/>
    <col min="3026" max="3026" width="20.42578125" style="17" customWidth="1"/>
    <col min="3027" max="3035" width="7.5703125" style="17" customWidth="1"/>
    <col min="3036" max="3280" width="9.140625" style="17"/>
    <col min="3281" max="3281" width="1.140625" style="17" customWidth="1"/>
    <col min="3282" max="3282" width="20.42578125" style="17" customWidth="1"/>
    <col min="3283" max="3291" width="7.5703125" style="17" customWidth="1"/>
    <col min="3292" max="3536" width="9.140625" style="17"/>
    <col min="3537" max="3537" width="1.140625" style="17" customWidth="1"/>
    <col min="3538" max="3538" width="20.42578125" style="17" customWidth="1"/>
    <col min="3539" max="3547" width="7.5703125" style="17" customWidth="1"/>
    <col min="3548" max="3792" width="9.140625" style="17"/>
    <col min="3793" max="3793" width="1.140625" style="17" customWidth="1"/>
    <col min="3794" max="3794" width="20.42578125" style="17" customWidth="1"/>
    <col min="3795" max="3803" width="7.5703125" style="17" customWidth="1"/>
    <col min="3804" max="4048" width="9.140625" style="17"/>
    <col min="4049" max="4049" width="1.140625" style="17" customWidth="1"/>
    <col min="4050" max="4050" width="20.42578125" style="17" customWidth="1"/>
    <col min="4051" max="4059" width="7.5703125" style="17" customWidth="1"/>
    <col min="4060" max="4304" width="9.140625" style="17"/>
    <col min="4305" max="4305" width="1.140625" style="17" customWidth="1"/>
    <col min="4306" max="4306" width="20.42578125" style="17" customWidth="1"/>
    <col min="4307" max="4315" width="7.5703125" style="17" customWidth="1"/>
    <col min="4316" max="4560" width="9.140625" style="17"/>
    <col min="4561" max="4561" width="1.140625" style="17" customWidth="1"/>
    <col min="4562" max="4562" width="20.42578125" style="17" customWidth="1"/>
    <col min="4563" max="4571" width="7.5703125" style="17" customWidth="1"/>
    <col min="4572" max="4816" width="9.140625" style="17"/>
    <col min="4817" max="4817" width="1.140625" style="17" customWidth="1"/>
    <col min="4818" max="4818" width="20.42578125" style="17" customWidth="1"/>
    <col min="4819" max="4827" width="7.5703125" style="17" customWidth="1"/>
    <col min="4828" max="5072" width="9.140625" style="17"/>
    <col min="5073" max="5073" width="1.140625" style="17" customWidth="1"/>
    <col min="5074" max="5074" width="20.42578125" style="17" customWidth="1"/>
    <col min="5075" max="5083" width="7.5703125" style="17" customWidth="1"/>
    <col min="5084" max="5328" width="9.140625" style="17"/>
    <col min="5329" max="5329" width="1.140625" style="17" customWidth="1"/>
    <col min="5330" max="5330" width="20.42578125" style="17" customWidth="1"/>
    <col min="5331" max="5339" width="7.5703125" style="17" customWidth="1"/>
    <col min="5340" max="5584" width="9.140625" style="17"/>
    <col min="5585" max="5585" width="1.140625" style="17" customWidth="1"/>
    <col min="5586" max="5586" width="20.42578125" style="17" customWidth="1"/>
    <col min="5587" max="5595" width="7.5703125" style="17" customWidth="1"/>
    <col min="5596" max="5840" width="9.140625" style="17"/>
    <col min="5841" max="5841" width="1.140625" style="17" customWidth="1"/>
    <col min="5842" max="5842" width="20.42578125" style="17" customWidth="1"/>
    <col min="5843" max="5851" width="7.5703125" style="17" customWidth="1"/>
    <col min="5852" max="6096" width="9.140625" style="17"/>
    <col min="6097" max="6097" width="1.140625" style="17" customWidth="1"/>
    <col min="6098" max="6098" width="20.42578125" style="17" customWidth="1"/>
    <col min="6099" max="6107" width="7.5703125" style="17" customWidth="1"/>
    <col min="6108" max="6352" width="9.140625" style="17"/>
    <col min="6353" max="6353" width="1.140625" style="17" customWidth="1"/>
    <col min="6354" max="6354" width="20.42578125" style="17" customWidth="1"/>
    <col min="6355" max="6363" width="7.5703125" style="17" customWidth="1"/>
    <col min="6364" max="6608" width="9.140625" style="17"/>
    <col min="6609" max="6609" width="1.140625" style="17" customWidth="1"/>
    <col min="6610" max="6610" width="20.42578125" style="17" customWidth="1"/>
    <col min="6611" max="6619" width="7.5703125" style="17" customWidth="1"/>
    <col min="6620" max="6864" width="9.140625" style="17"/>
    <col min="6865" max="6865" width="1.140625" style="17" customWidth="1"/>
    <col min="6866" max="6866" width="20.42578125" style="17" customWidth="1"/>
    <col min="6867" max="6875" width="7.5703125" style="17" customWidth="1"/>
    <col min="6876" max="7120" width="9.140625" style="17"/>
    <col min="7121" max="7121" width="1.140625" style="17" customWidth="1"/>
    <col min="7122" max="7122" width="20.42578125" style="17" customWidth="1"/>
    <col min="7123" max="7131" width="7.5703125" style="17" customWidth="1"/>
    <col min="7132" max="7376" width="9.140625" style="17"/>
    <col min="7377" max="7377" width="1.140625" style="17" customWidth="1"/>
    <col min="7378" max="7378" width="20.42578125" style="17" customWidth="1"/>
    <col min="7379" max="7387" width="7.5703125" style="17" customWidth="1"/>
    <col min="7388" max="7632" width="9.140625" style="17"/>
    <col min="7633" max="7633" width="1.140625" style="17" customWidth="1"/>
    <col min="7634" max="7634" width="20.42578125" style="17" customWidth="1"/>
    <col min="7635" max="7643" width="7.5703125" style="17" customWidth="1"/>
    <col min="7644" max="7888" width="9.140625" style="17"/>
    <col min="7889" max="7889" width="1.140625" style="17" customWidth="1"/>
    <col min="7890" max="7890" width="20.42578125" style="17" customWidth="1"/>
    <col min="7891" max="7899" width="7.5703125" style="17" customWidth="1"/>
    <col min="7900" max="8144" width="9.140625" style="17"/>
    <col min="8145" max="8145" width="1.140625" style="17" customWidth="1"/>
    <col min="8146" max="8146" width="20.42578125" style="17" customWidth="1"/>
    <col min="8147" max="8155" width="7.5703125" style="17" customWidth="1"/>
    <col min="8156" max="8400" width="9.140625" style="17"/>
    <col min="8401" max="8401" width="1.140625" style="17" customWidth="1"/>
    <col min="8402" max="8402" width="20.42578125" style="17" customWidth="1"/>
    <col min="8403" max="8411" width="7.5703125" style="17" customWidth="1"/>
    <col min="8412" max="8656" width="9.140625" style="17"/>
    <col min="8657" max="8657" width="1.140625" style="17" customWidth="1"/>
    <col min="8658" max="8658" width="20.42578125" style="17" customWidth="1"/>
    <col min="8659" max="8667" width="7.5703125" style="17" customWidth="1"/>
    <col min="8668" max="8912" width="9.140625" style="17"/>
    <col min="8913" max="8913" width="1.140625" style="17" customWidth="1"/>
    <col min="8914" max="8914" width="20.42578125" style="17" customWidth="1"/>
    <col min="8915" max="8923" width="7.5703125" style="17" customWidth="1"/>
    <col min="8924" max="9168" width="9.140625" style="17"/>
    <col min="9169" max="9169" width="1.140625" style="17" customWidth="1"/>
    <col min="9170" max="9170" width="20.42578125" style="17" customWidth="1"/>
    <col min="9171" max="9179" width="7.5703125" style="17" customWidth="1"/>
    <col min="9180" max="9424" width="9.140625" style="17"/>
    <col min="9425" max="9425" width="1.140625" style="17" customWidth="1"/>
    <col min="9426" max="9426" width="20.42578125" style="17" customWidth="1"/>
    <col min="9427" max="9435" width="7.5703125" style="17" customWidth="1"/>
    <col min="9436" max="9680" width="9.140625" style="17"/>
    <col min="9681" max="9681" width="1.140625" style="17" customWidth="1"/>
    <col min="9682" max="9682" width="20.42578125" style="17" customWidth="1"/>
    <col min="9683" max="9691" width="7.5703125" style="17" customWidth="1"/>
    <col min="9692" max="9936" width="9.140625" style="17"/>
    <col min="9937" max="9937" width="1.140625" style="17" customWidth="1"/>
    <col min="9938" max="9938" width="20.42578125" style="17" customWidth="1"/>
    <col min="9939" max="9947" width="7.5703125" style="17" customWidth="1"/>
    <col min="9948" max="10192" width="9.140625" style="17"/>
    <col min="10193" max="10193" width="1.140625" style="17" customWidth="1"/>
    <col min="10194" max="10194" width="20.42578125" style="17" customWidth="1"/>
    <col min="10195" max="10203" width="7.5703125" style="17" customWidth="1"/>
    <col min="10204" max="10448" width="9.140625" style="17"/>
    <col min="10449" max="10449" width="1.140625" style="17" customWidth="1"/>
    <col min="10450" max="10450" width="20.42578125" style="17" customWidth="1"/>
    <col min="10451" max="10459" width="7.5703125" style="17" customWidth="1"/>
    <col min="10460" max="10704" width="9.140625" style="17"/>
    <col min="10705" max="10705" width="1.140625" style="17" customWidth="1"/>
    <col min="10706" max="10706" width="20.42578125" style="17" customWidth="1"/>
    <col min="10707" max="10715" width="7.5703125" style="17" customWidth="1"/>
    <col min="10716" max="10960" width="9.140625" style="17"/>
    <col min="10961" max="10961" width="1.140625" style="17" customWidth="1"/>
    <col min="10962" max="10962" width="20.42578125" style="17" customWidth="1"/>
    <col min="10963" max="10971" width="7.5703125" style="17" customWidth="1"/>
    <col min="10972" max="11216" width="9.140625" style="17"/>
    <col min="11217" max="11217" width="1.140625" style="17" customWidth="1"/>
    <col min="11218" max="11218" width="20.42578125" style="17" customWidth="1"/>
    <col min="11219" max="11227" width="7.5703125" style="17" customWidth="1"/>
    <col min="11228" max="11472" width="9.140625" style="17"/>
    <col min="11473" max="11473" width="1.140625" style="17" customWidth="1"/>
    <col min="11474" max="11474" width="20.42578125" style="17" customWidth="1"/>
    <col min="11475" max="11483" width="7.5703125" style="17" customWidth="1"/>
    <col min="11484" max="11728" width="9.140625" style="17"/>
    <col min="11729" max="11729" width="1.140625" style="17" customWidth="1"/>
    <col min="11730" max="11730" width="20.42578125" style="17" customWidth="1"/>
    <col min="11731" max="11739" width="7.5703125" style="17" customWidth="1"/>
    <col min="11740" max="11984" width="9.140625" style="17"/>
    <col min="11985" max="11985" width="1.140625" style="17" customWidth="1"/>
    <col min="11986" max="11986" width="20.42578125" style="17" customWidth="1"/>
    <col min="11987" max="11995" width="7.5703125" style="17" customWidth="1"/>
    <col min="11996" max="12240" width="9.140625" style="17"/>
    <col min="12241" max="12241" width="1.140625" style="17" customWidth="1"/>
    <col min="12242" max="12242" width="20.42578125" style="17" customWidth="1"/>
    <col min="12243" max="12251" width="7.5703125" style="17" customWidth="1"/>
    <col min="12252" max="12496" width="9.140625" style="17"/>
    <col min="12497" max="12497" width="1.140625" style="17" customWidth="1"/>
    <col min="12498" max="12498" width="20.42578125" style="17" customWidth="1"/>
    <col min="12499" max="12507" width="7.5703125" style="17" customWidth="1"/>
    <col min="12508" max="12752" width="9.140625" style="17"/>
    <col min="12753" max="12753" width="1.140625" style="17" customWidth="1"/>
    <col min="12754" max="12754" width="20.42578125" style="17" customWidth="1"/>
    <col min="12755" max="12763" width="7.5703125" style="17" customWidth="1"/>
    <col min="12764" max="13008" width="9.140625" style="17"/>
    <col min="13009" max="13009" width="1.140625" style="17" customWidth="1"/>
    <col min="13010" max="13010" width="20.42578125" style="17" customWidth="1"/>
    <col min="13011" max="13019" width="7.5703125" style="17" customWidth="1"/>
    <col min="13020" max="13264" width="9.140625" style="17"/>
    <col min="13265" max="13265" width="1.140625" style="17" customWidth="1"/>
    <col min="13266" max="13266" width="20.42578125" style="17" customWidth="1"/>
    <col min="13267" max="13275" width="7.5703125" style="17" customWidth="1"/>
    <col min="13276" max="13520" width="9.140625" style="17"/>
    <col min="13521" max="13521" width="1.140625" style="17" customWidth="1"/>
    <col min="13522" max="13522" width="20.42578125" style="17" customWidth="1"/>
    <col min="13523" max="13531" width="7.5703125" style="17" customWidth="1"/>
    <col min="13532" max="13776" width="9.140625" style="17"/>
    <col min="13777" max="13777" width="1.140625" style="17" customWidth="1"/>
    <col min="13778" max="13778" width="20.42578125" style="17" customWidth="1"/>
    <col min="13779" max="13787" width="7.5703125" style="17" customWidth="1"/>
    <col min="13788" max="14032" width="9.140625" style="17"/>
    <col min="14033" max="14033" width="1.140625" style="17" customWidth="1"/>
    <col min="14034" max="14034" width="20.42578125" style="17" customWidth="1"/>
    <col min="14035" max="14043" width="7.5703125" style="17" customWidth="1"/>
    <col min="14044" max="14288" width="9.140625" style="17"/>
    <col min="14289" max="14289" width="1.140625" style="17" customWidth="1"/>
    <col min="14290" max="14290" width="20.42578125" style="17" customWidth="1"/>
    <col min="14291" max="14299" width="7.5703125" style="17" customWidth="1"/>
    <col min="14300" max="14544" width="9.140625" style="17"/>
    <col min="14545" max="14545" width="1.140625" style="17" customWidth="1"/>
    <col min="14546" max="14546" width="20.42578125" style="17" customWidth="1"/>
    <col min="14547" max="14555" width="7.5703125" style="17" customWidth="1"/>
    <col min="14556" max="14800" width="9.140625" style="17"/>
    <col min="14801" max="14801" width="1.140625" style="17" customWidth="1"/>
    <col min="14802" max="14802" width="20.42578125" style="17" customWidth="1"/>
    <col min="14803" max="14811" width="7.5703125" style="17" customWidth="1"/>
    <col min="14812" max="15056" width="9.140625" style="17"/>
    <col min="15057" max="15057" width="1.140625" style="17" customWidth="1"/>
    <col min="15058" max="15058" width="20.42578125" style="17" customWidth="1"/>
    <col min="15059" max="15067" width="7.5703125" style="17" customWidth="1"/>
    <col min="15068" max="15312" width="9.140625" style="17"/>
    <col min="15313" max="15313" width="1.140625" style="17" customWidth="1"/>
    <col min="15314" max="15314" width="20.42578125" style="17" customWidth="1"/>
    <col min="15315" max="15323" width="7.5703125" style="17" customWidth="1"/>
    <col min="15324" max="15568" width="9.140625" style="17"/>
    <col min="15569" max="15569" width="1.140625" style="17" customWidth="1"/>
    <col min="15570" max="15570" width="20.42578125" style="17" customWidth="1"/>
    <col min="15571" max="15579" width="7.5703125" style="17" customWidth="1"/>
    <col min="15580" max="15824" width="9.140625" style="17"/>
    <col min="15825" max="15825" width="1.140625" style="17" customWidth="1"/>
    <col min="15826" max="15826" width="20.42578125" style="17" customWidth="1"/>
    <col min="15827" max="15835" width="7.5703125" style="17" customWidth="1"/>
    <col min="15836" max="16080" width="9.140625" style="17"/>
    <col min="16081" max="16081" width="1.140625" style="17" customWidth="1"/>
    <col min="16082" max="16082" width="20.42578125" style="17" customWidth="1"/>
    <col min="16083" max="16091" width="7.5703125" style="17" customWidth="1"/>
    <col min="16092" max="16333" width="9.140625" style="17"/>
    <col min="16334" max="16336" width="9" style="17" customWidth="1"/>
    <col min="16337" max="16384" width="9.140625" style="17"/>
  </cols>
  <sheetData>
    <row r="1" spans="2:14" ht="6" customHeight="1" thickTop="1">
      <c r="B1" s="106"/>
      <c r="C1" s="106"/>
      <c r="D1" s="106"/>
      <c r="E1" s="106"/>
      <c r="F1" s="106"/>
      <c r="G1" s="106"/>
      <c r="H1" s="106"/>
      <c r="I1" s="106"/>
      <c r="J1" s="106"/>
      <c r="K1" s="18"/>
      <c r="L1" s="11"/>
      <c r="M1" s="11"/>
    </row>
    <row r="2" spans="2:14" ht="24">
      <c r="B2" s="83" t="s">
        <v>39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</row>
    <row r="3" spans="2:14" ht="17.25">
      <c r="B3" s="99" t="s">
        <v>8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2:14" ht="30" customHeight="1">
      <c r="B4" s="102" t="s">
        <v>2</v>
      </c>
      <c r="C4" s="102" t="s">
        <v>28</v>
      </c>
      <c r="D4" s="102"/>
      <c r="E4" s="102"/>
      <c r="F4" s="102" t="s">
        <v>29</v>
      </c>
      <c r="G4" s="102"/>
      <c r="H4" s="102"/>
      <c r="I4" s="102" t="s">
        <v>27</v>
      </c>
      <c r="J4" s="102"/>
      <c r="K4" s="102"/>
      <c r="L4" s="102" t="s">
        <v>30</v>
      </c>
      <c r="M4" s="102"/>
      <c r="N4" s="102"/>
    </row>
    <row r="5" spans="2:14" ht="30" customHeight="1">
      <c r="B5" s="102"/>
      <c r="C5" s="48" t="s">
        <v>0</v>
      </c>
      <c r="D5" s="48" t="s">
        <v>22</v>
      </c>
      <c r="E5" s="48" t="s">
        <v>23</v>
      </c>
      <c r="F5" s="48" t="s">
        <v>0</v>
      </c>
      <c r="G5" s="48" t="s">
        <v>22</v>
      </c>
      <c r="H5" s="48" t="s">
        <v>23</v>
      </c>
      <c r="I5" s="48" t="s">
        <v>0</v>
      </c>
      <c r="J5" s="48" t="s">
        <v>22</v>
      </c>
      <c r="K5" s="48" t="s">
        <v>23</v>
      </c>
      <c r="L5" s="48" t="s">
        <v>0</v>
      </c>
      <c r="M5" s="48" t="s">
        <v>22</v>
      </c>
      <c r="N5" s="48" t="s">
        <v>23</v>
      </c>
    </row>
    <row r="6" spans="2:14" ht="30" customHeight="1" thickBot="1">
      <c r="B6" s="53" t="s">
        <v>6</v>
      </c>
      <c r="C6" s="39">
        <v>790</v>
      </c>
      <c r="D6" s="39">
        <v>25000</v>
      </c>
      <c r="E6" s="41">
        <f>D6/C6</f>
        <v>31.645569620253166</v>
      </c>
      <c r="F6" s="39"/>
      <c r="G6" s="39"/>
      <c r="H6" s="41">
        <v>0</v>
      </c>
      <c r="I6" s="39">
        <v>50</v>
      </c>
      <c r="J6" s="39">
        <v>1550</v>
      </c>
      <c r="K6" s="41">
        <f t="shared" ref="K6:K11" si="0">J6/I6</f>
        <v>31</v>
      </c>
      <c r="L6" s="76">
        <f>I6+F6+C6</f>
        <v>840</v>
      </c>
      <c r="M6" s="76">
        <f>J6+G6+D6</f>
        <v>26550</v>
      </c>
      <c r="N6" s="77">
        <f>M6/L6</f>
        <v>31.607142857142858</v>
      </c>
    </row>
    <row r="7" spans="2:14" ht="30" customHeight="1" thickTop="1" thickBot="1">
      <c r="B7" s="52" t="s">
        <v>15</v>
      </c>
      <c r="C7" s="38">
        <v>200</v>
      </c>
      <c r="D7" s="35">
        <v>6800</v>
      </c>
      <c r="E7" s="36">
        <f t="shared" ref="E7:E14" si="1">D7/C7</f>
        <v>34</v>
      </c>
      <c r="F7" s="38"/>
      <c r="G7" s="35"/>
      <c r="H7" s="36">
        <v>0</v>
      </c>
      <c r="I7" s="38">
        <v>100</v>
      </c>
      <c r="J7" s="35">
        <v>3400</v>
      </c>
      <c r="K7" s="36">
        <f t="shared" si="0"/>
        <v>34</v>
      </c>
      <c r="L7" s="27">
        <f t="shared" ref="L7:L13" si="2">I7+F7+C7</f>
        <v>300</v>
      </c>
      <c r="M7" s="27">
        <f t="shared" ref="M7:M12" si="3">J7+G7+D7</f>
        <v>10200</v>
      </c>
      <c r="N7" s="37">
        <f t="shared" ref="N7:N13" si="4">M7/L7</f>
        <v>34</v>
      </c>
    </row>
    <row r="8" spans="2:14" ht="30" customHeight="1" thickTop="1" thickBot="1">
      <c r="B8" s="52" t="s">
        <v>14</v>
      </c>
      <c r="C8" s="38">
        <v>150</v>
      </c>
      <c r="D8" s="35">
        <v>6150</v>
      </c>
      <c r="E8" s="36">
        <f t="shared" si="1"/>
        <v>41</v>
      </c>
      <c r="F8" s="38">
        <v>6517</v>
      </c>
      <c r="G8" s="35">
        <v>254144</v>
      </c>
      <c r="H8" s="36">
        <f t="shared" ref="H8:H11" si="5">G8/F8</f>
        <v>38.997084548104958</v>
      </c>
      <c r="I8" s="38"/>
      <c r="J8" s="35"/>
      <c r="K8" s="36">
        <v>0</v>
      </c>
      <c r="L8" s="27">
        <f t="shared" si="2"/>
        <v>6667</v>
      </c>
      <c r="M8" s="27">
        <f t="shared" si="3"/>
        <v>260294</v>
      </c>
      <c r="N8" s="37">
        <f t="shared" si="4"/>
        <v>39.042147892605371</v>
      </c>
    </row>
    <row r="9" spans="2:14" ht="30" customHeight="1" thickTop="1" thickBot="1">
      <c r="B9" s="52" t="s">
        <v>9</v>
      </c>
      <c r="C9" s="38">
        <v>1950</v>
      </c>
      <c r="D9" s="35">
        <v>55300</v>
      </c>
      <c r="E9" s="36">
        <f t="shared" si="1"/>
        <v>28.358974358974358</v>
      </c>
      <c r="F9" s="38"/>
      <c r="G9" s="35"/>
      <c r="H9" s="36">
        <v>0</v>
      </c>
      <c r="I9" s="38">
        <v>1950</v>
      </c>
      <c r="J9" s="35">
        <v>55300</v>
      </c>
      <c r="K9" s="36">
        <f>J9/I9</f>
        <v>28.358974358974358</v>
      </c>
      <c r="L9" s="27">
        <f t="shared" si="2"/>
        <v>3900</v>
      </c>
      <c r="M9" s="27">
        <f t="shared" si="3"/>
        <v>110600</v>
      </c>
      <c r="N9" s="37">
        <f t="shared" si="4"/>
        <v>28.358974358974358</v>
      </c>
    </row>
    <row r="10" spans="2:14" ht="30" customHeight="1" thickTop="1" thickBot="1">
      <c r="B10" s="52" t="s">
        <v>7</v>
      </c>
      <c r="C10" s="38">
        <v>0</v>
      </c>
      <c r="D10" s="35">
        <v>0</v>
      </c>
      <c r="E10" s="36">
        <v>0</v>
      </c>
      <c r="F10" s="38">
        <v>50</v>
      </c>
      <c r="G10" s="35">
        <v>1450</v>
      </c>
      <c r="H10" s="36">
        <f t="shared" si="5"/>
        <v>29</v>
      </c>
      <c r="I10" s="38">
        <v>50</v>
      </c>
      <c r="J10" s="35">
        <v>1450</v>
      </c>
      <c r="K10" s="36">
        <f t="shared" si="0"/>
        <v>29</v>
      </c>
      <c r="L10" s="27">
        <f t="shared" si="2"/>
        <v>100</v>
      </c>
      <c r="M10" s="27">
        <f t="shared" si="3"/>
        <v>2900</v>
      </c>
      <c r="N10" s="37">
        <f t="shared" si="4"/>
        <v>29</v>
      </c>
    </row>
    <row r="11" spans="2:14" ht="30" customHeight="1" thickTop="1" thickBot="1">
      <c r="B11" s="52" t="s">
        <v>3</v>
      </c>
      <c r="C11" s="38">
        <v>350</v>
      </c>
      <c r="D11" s="35">
        <v>10850</v>
      </c>
      <c r="E11" s="36">
        <f t="shared" si="1"/>
        <v>31</v>
      </c>
      <c r="F11" s="38">
        <v>50</v>
      </c>
      <c r="G11" s="35">
        <v>1500</v>
      </c>
      <c r="H11" s="36">
        <f t="shared" si="5"/>
        <v>30</v>
      </c>
      <c r="I11" s="38">
        <v>450</v>
      </c>
      <c r="J11" s="35">
        <v>15300</v>
      </c>
      <c r="K11" s="36">
        <f t="shared" si="0"/>
        <v>34</v>
      </c>
      <c r="L11" s="27">
        <f t="shared" si="2"/>
        <v>850</v>
      </c>
      <c r="M11" s="27">
        <f t="shared" si="3"/>
        <v>27650</v>
      </c>
      <c r="N11" s="37">
        <f t="shared" si="4"/>
        <v>32.529411764705884</v>
      </c>
    </row>
    <row r="12" spans="2:14" ht="30" customHeight="1" thickTop="1" thickBot="1">
      <c r="B12" s="52" t="s">
        <v>16</v>
      </c>
      <c r="C12" s="38">
        <v>1950</v>
      </c>
      <c r="D12" s="35">
        <v>62400</v>
      </c>
      <c r="E12" s="36">
        <f t="shared" si="1"/>
        <v>32</v>
      </c>
      <c r="F12" s="38"/>
      <c r="G12" s="35"/>
      <c r="H12" s="36">
        <v>0</v>
      </c>
      <c r="I12" s="38"/>
      <c r="J12" s="35"/>
      <c r="K12" s="36">
        <v>0</v>
      </c>
      <c r="L12" s="27">
        <f t="shared" si="2"/>
        <v>1950</v>
      </c>
      <c r="M12" s="27">
        <f t="shared" si="3"/>
        <v>62400</v>
      </c>
      <c r="N12" s="37">
        <f t="shared" si="4"/>
        <v>32</v>
      </c>
    </row>
    <row r="13" spans="2:14" ht="30" customHeight="1" thickTop="1">
      <c r="B13" s="55" t="s">
        <v>21</v>
      </c>
      <c r="C13" s="72">
        <v>150</v>
      </c>
      <c r="D13" s="73">
        <v>7500</v>
      </c>
      <c r="E13" s="74">
        <f t="shared" si="1"/>
        <v>50</v>
      </c>
      <c r="F13" s="72"/>
      <c r="G13" s="73"/>
      <c r="H13" s="74">
        <v>0</v>
      </c>
      <c r="I13" s="72">
        <v>300</v>
      </c>
      <c r="J13" s="73">
        <v>12000</v>
      </c>
      <c r="K13" s="74">
        <f>J13/I13</f>
        <v>40</v>
      </c>
      <c r="L13" s="65">
        <f t="shared" si="2"/>
        <v>450</v>
      </c>
      <c r="M13" s="65">
        <f>J13+G13+D13</f>
        <v>19500</v>
      </c>
      <c r="N13" s="42">
        <f t="shared" si="4"/>
        <v>43.333333333333336</v>
      </c>
    </row>
    <row r="14" spans="2:14" ht="30" customHeight="1">
      <c r="B14" s="62" t="s">
        <v>13</v>
      </c>
      <c r="C14" s="63">
        <f>SUM(C6:C13)</f>
        <v>5540</v>
      </c>
      <c r="D14" s="63">
        <f>SUM(D6:D13)</f>
        <v>174000</v>
      </c>
      <c r="E14" s="75">
        <f t="shared" si="1"/>
        <v>31.407942238267147</v>
      </c>
      <c r="F14" s="63">
        <f>SUM(F6:F13)</f>
        <v>6617</v>
      </c>
      <c r="G14" s="63">
        <f>SUM(G6:G13)</f>
        <v>257094</v>
      </c>
      <c r="H14" s="75">
        <f t="shared" ref="H14" si="6">G14/F14</f>
        <v>38.853559014659211</v>
      </c>
      <c r="I14" s="63">
        <f>SUM(I6:I13)</f>
        <v>2900</v>
      </c>
      <c r="J14" s="63">
        <f>SUM(J6:J13)</f>
        <v>89000</v>
      </c>
      <c r="K14" s="75">
        <f>J14/I14</f>
        <v>30.689655172413794</v>
      </c>
      <c r="L14" s="63">
        <f>SUM(L6:L13)</f>
        <v>15057</v>
      </c>
      <c r="M14" s="63">
        <f>SUM(M6:M13)</f>
        <v>520094</v>
      </c>
      <c r="N14" s="43">
        <f>M14/L14</f>
        <v>34.541674968453208</v>
      </c>
    </row>
  </sheetData>
  <mergeCells count="7">
    <mergeCell ref="L4:N4"/>
    <mergeCell ref="B3:N3"/>
    <mergeCell ref="C4:E4"/>
    <mergeCell ref="B4:B5"/>
    <mergeCell ref="B1:J1"/>
    <mergeCell ref="F4:H4"/>
    <mergeCell ref="I4:K4"/>
  </mergeCells>
  <pageMargins left="0.70866141732283472" right="0.70866141732283472" top="0.74803149606299213" bottom="0.74803149606299213" header="0.31496062992125984" footer="0.31496062992125984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7"/>
  <sheetViews>
    <sheetView rightToLeft="1" zoomScaleNormal="100" workbookViewId="0">
      <selection activeCell="A4" sqref="A4:XFD15"/>
    </sheetView>
  </sheetViews>
  <sheetFormatPr defaultRowHeight="15"/>
  <cols>
    <col min="1" max="1" width="1.85546875" style="17" customWidth="1"/>
    <col min="2" max="2" width="18.28515625" style="17" customWidth="1"/>
    <col min="3" max="3" width="8" style="17" bestFit="1" customWidth="1"/>
    <col min="4" max="4" width="11.28515625" style="17" bestFit="1" customWidth="1"/>
    <col min="5" max="5" width="7" style="17" bestFit="1" customWidth="1"/>
    <col min="6" max="6" width="9.7109375" style="17" bestFit="1" customWidth="1"/>
    <col min="7" max="7" width="11.28515625" style="17" bestFit="1" customWidth="1"/>
    <col min="8" max="8" width="7.28515625" style="17" bestFit="1" customWidth="1"/>
    <col min="9" max="9" width="9.7109375" style="17" bestFit="1" customWidth="1"/>
    <col min="10" max="10" width="13" style="17" bestFit="1" customWidth="1"/>
    <col min="11" max="11" width="7" style="17" bestFit="1" customWidth="1"/>
    <col min="12" max="12" width="9.7109375" style="17" bestFit="1" customWidth="1"/>
    <col min="13" max="13" width="13" style="17" bestFit="1" customWidth="1"/>
    <col min="14" max="208" width="9.140625" style="17"/>
    <col min="209" max="209" width="1.140625" style="17" customWidth="1"/>
    <col min="210" max="210" width="20.42578125" style="17" customWidth="1"/>
    <col min="211" max="219" width="7.5703125" style="17" customWidth="1"/>
    <col min="220" max="464" width="9.140625" style="17"/>
    <col min="465" max="465" width="1.140625" style="17" customWidth="1"/>
    <col min="466" max="466" width="20.42578125" style="17" customWidth="1"/>
    <col min="467" max="475" width="7.5703125" style="17" customWidth="1"/>
    <col min="476" max="720" width="9.140625" style="17"/>
    <col min="721" max="721" width="1.140625" style="17" customWidth="1"/>
    <col min="722" max="722" width="20.42578125" style="17" customWidth="1"/>
    <col min="723" max="731" width="7.5703125" style="17" customWidth="1"/>
    <col min="732" max="976" width="9.140625" style="17"/>
    <col min="977" max="977" width="1.140625" style="17" customWidth="1"/>
    <col min="978" max="978" width="20.42578125" style="17" customWidth="1"/>
    <col min="979" max="987" width="7.5703125" style="17" customWidth="1"/>
    <col min="988" max="1232" width="9.140625" style="17"/>
    <col min="1233" max="1233" width="1.140625" style="17" customWidth="1"/>
    <col min="1234" max="1234" width="20.42578125" style="17" customWidth="1"/>
    <col min="1235" max="1243" width="7.5703125" style="17" customWidth="1"/>
    <col min="1244" max="1488" width="9.140625" style="17"/>
    <col min="1489" max="1489" width="1.140625" style="17" customWidth="1"/>
    <col min="1490" max="1490" width="20.42578125" style="17" customWidth="1"/>
    <col min="1491" max="1499" width="7.5703125" style="17" customWidth="1"/>
    <col min="1500" max="1744" width="9.140625" style="17"/>
    <col min="1745" max="1745" width="1.140625" style="17" customWidth="1"/>
    <col min="1746" max="1746" width="20.42578125" style="17" customWidth="1"/>
    <col min="1747" max="1755" width="7.5703125" style="17" customWidth="1"/>
    <col min="1756" max="2000" width="9.140625" style="17"/>
    <col min="2001" max="2001" width="1.140625" style="17" customWidth="1"/>
    <col min="2002" max="2002" width="20.42578125" style="17" customWidth="1"/>
    <col min="2003" max="2011" width="7.5703125" style="17" customWidth="1"/>
    <col min="2012" max="2256" width="9.140625" style="17"/>
    <col min="2257" max="2257" width="1.140625" style="17" customWidth="1"/>
    <col min="2258" max="2258" width="20.42578125" style="17" customWidth="1"/>
    <col min="2259" max="2267" width="7.5703125" style="17" customWidth="1"/>
    <col min="2268" max="2512" width="9.140625" style="17"/>
    <col min="2513" max="2513" width="1.140625" style="17" customWidth="1"/>
    <col min="2514" max="2514" width="20.42578125" style="17" customWidth="1"/>
    <col min="2515" max="2523" width="7.5703125" style="17" customWidth="1"/>
    <col min="2524" max="2768" width="9.140625" style="17"/>
    <col min="2769" max="2769" width="1.140625" style="17" customWidth="1"/>
    <col min="2770" max="2770" width="20.42578125" style="17" customWidth="1"/>
    <col min="2771" max="2779" width="7.5703125" style="17" customWidth="1"/>
    <col min="2780" max="3024" width="9.140625" style="17"/>
    <col min="3025" max="3025" width="1.140625" style="17" customWidth="1"/>
    <col min="3026" max="3026" width="20.42578125" style="17" customWidth="1"/>
    <col min="3027" max="3035" width="7.5703125" style="17" customWidth="1"/>
    <col min="3036" max="3280" width="9.140625" style="17"/>
    <col min="3281" max="3281" width="1.140625" style="17" customWidth="1"/>
    <col min="3282" max="3282" width="20.42578125" style="17" customWidth="1"/>
    <col min="3283" max="3291" width="7.5703125" style="17" customWidth="1"/>
    <col min="3292" max="3536" width="9.140625" style="17"/>
    <col min="3537" max="3537" width="1.140625" style="17" customWidth="1"/>
    <col min="3538" max="3538" width="20.42578125" style="17" customWidth="1"/>
    <col min="3539" max="3547" width="7.5703125" style="17" customWidth="1"/>
    <col min="3548" max="3792" width="9.140625" style="17"/>
    <col min="3793" max="3793" width="1.140625" style="17" customWidth="1"/>
    <col min="3794" max="3794" width="20.42578125" style="17" customWidth="1"/>
    <col min="3795" max="3803" width="7.5703125" style="17" customWidth="1"/>
    <col min="3804" max="4048" width="9.140625" style="17"/>
    <col min="4049" max="4049" width="1.140625" style="17" customWidth="1"/>
    <col min="4050" max="4050" width="20.42578125" style="17" customWidth="1"/>
    <col min="4051" max="4059" width="7.5703125" style="17" customWidth="1"/>
    <col min="4060" max="4304" width="9.140625" style="17"/>
    <col min="4305" max="4305" width="1.140625" style="17" customWidth="1"/>
    <col min="4306" max="4306" width="20.42578125" style="17" customWidth="1"/>
    <col min="4307" max="4315" width="7.5703125" style="17" customWidth="1"/>
    <col min="4316" max="4560" width="9.140625" style="17"/>
    <col min="4561" max="4561" width="1.140625" style="17" customWidth="1"/>
    <col min="4562" max="4562" width="20.42578125" style="17" customWidth="1"/>
    <col min="4563" max="4571" width="7.5703125" style="17" customWidth="1"/>
    <col min="4572" max="4816" width="9.140625" style="17"/>
    <col min="4817" max="4817" width="1.140625" style="17" customWidth="1"/>
    <col min="4818" max="4818" width="20.42578125" style="17" customWidth="1"/>
    <col min="4819" max="4827" width="7.5703125" style="17" customWidth="1"/>
    <col min="4828" max="5072" width="9.140625" style="17"/>
    <col min="5073" max="5073" width="1.140625" style="17" customWidth="1"/>
    <col min="5074" max="5074" width="20.42578125" style="17" customWidth="1"/>
    <col min="5075" max="5083" width="7.5703125" style="17" customWidth="1"/>
    <col min="5084" max="5328" width="9.140625" style="17"/>
    <col min="5329" max="5329" width="1.140625" style="17" customWidth="1"/>
    <col min="5330" max="5330" width="20.42578125" style="17" customWidth="1"/>
    <col min="5331" max="5339" width="7.5703125" style="17" customWidth="1"/>
    <col min="5340" max="5584" width="9.140625" style="17"/>
    <col min="5585" max="5585" width="1.140625" style="17" customWidth="1"/>
    <col min="5586" max="5586" width="20.42578125" style="17" customWidth="1"/>
    <col min="5587" max="5595" width="7.5703125" style="17" customWidth="1"/>
    <col min="5596" max="5840" width="9.140625" style="17"/>
    <col min="5841" max="5841" width="1.140625" style="17" customWidth="1"/>
    <col min="5842" max="5842" width="20.42578125" style="17" customWidth="1"/>
    <col min="5843" max="5851" width="7.5703125" style="17" customWidth="1"/>
    <col min="5852" max="6096" width="9.140625" style="17"/>
    <col min="6097" max="6097" width="1.140625" style="17" customWidth="1"/>
    <col min="6098" max="6098" width="20.42578125" style="17" customWidth="1"/>
    <col min="6099" max="6107" width="7.5703125" style="17" customWidth="1"/>
    <col min="6108" max="6352" width="9.140625" style="17"/>
    <col min="6353" max="6353" width="1.140625" style="17" customWidth="1"/>
    <col min="6354" max="6354" width="20.42578125" style="17" customWidth="1"/>
    <col min="6355" max="6363" width="7.5703125" style="17" customWidth="1"/>
    <col min="6364" max="6608" width="9.140625" style="17"/>
    <col min="6609" max="6609" width="1.140625" style="17" customWidth="1"/>
    <col min="6610" max="6610" width="20.42578125" style="17" customWidth="1"/>
    <col min="6611" max="6619" width="7.5703125" style="17" customWidth="1"/>
    <col min="6620" max="6864" width="9.140625" style="17"/>
    <col min="6865" max="6865" width="1.140625" style="17" customWidth="1"/>
    <col min="6866" max="6866" width="20.42578125" style="17" customWidth="1"/>
    <col min="6867" max="6875" width="7.5703125" style="17" customWidth="1"/>
    <col min="6876" max="7120" width="9.140625" style="17"/>
    <col min="7121" max="7121" width="1.140625" style="17" customWidth="1"/>
    <col min="7122" max="7122" width="20.42578125" style="17" customWidth="1"/>
    <col min="7123" max="7131" width="7.5703125" style="17" customWidth="1"/>
    <col min="7132" max="7376" width="9.140625" style="17"/>
    <col min="7377" max="7377" width="1.140625" style="17" customWidth="1"/>
    <col min="7378" max="7378" width="20.42578125" style="17" customWidth="1"/>
    <col min="7379" max="7387" width="7.5703125" style="17" customWidth="1"/>
    <col min="7388" max="7632" width="9.140625" style="17"/>
    <col min="7633" max="7633" width="1.140625" style="17" customWidth="1"/>
    <col min="7634" max="7634" width="20.42578125" style="17" customWidth="1"/>
    <col min="7635" max="7643" width="7.5703125" style="17" customWidth="1"/>
    <col min="7644" max="7888" width="9.140625" style="17"/>
    <col min="7889" max="7889" width="1.140625" style="17" customWidth="1"/>
    <col min="7890" max="7890" width="20.42578125" style="17" customWidth="1"/>
    <col min="7891" max="7899" width="7.5703125" style="17" customWidth="1"/>
    <col min="7900" max="8144" width="9.140625" style="17"/>
    <col min="8145" max="8145" width="1.140625" style="17" customWidth="1"/>
    <col min="8146" max="8146" width="20.42578125" style="17" customWidth="1"/>
    <col min="8147" max="8155" width="7.5703125" style="17" customWidth="1"/>
    <col min="8156" max="8400" width="9.140625" style="17"/>
    <col min="8401" max="8401" width="1.140625" style="17" customWidth="1"/>
    <col min="8402" max="8402" width="20.42578125" style="17" customWidth="1"/>
    <col min="8403" max="8411" width="7.5703125" style="17" customWidth="1"/>
    <col min="8412" max="8656" width="9.140625" style="17"/>
    <col min="8657" max="8657" width="1.140625" style="17" customWidth="1"/>
    <col min="8658" max="8658" width="20.42578125" style="17" customWidth="1"/>
    <col min="8659" max="8667" width="7.5703125" style="17" customWidth="1"/>
    <col min="8668" max="8912" width="9.140625" style="17"/>
    <col min="8913" max="8913" width="1.140625" style="17" customWidth="1"/>
    <col min="8914" max="8914" width="20.42578125" style="17" customWidth="1"/>
    <col min="8915" max="8923" width="7.5703125" style="17" customWidth="1"/>
    <col min="8924" max="9168" width="9.140625" style="17"/>
    <col min="9169" max="9169" width="1.140625" style="17" customWidth="1"/>
    <col min="9170" max="9170" width="20.42578125" style="17" customWidth="1"/>
    <col min="9171" max="9179" width="7.5703125" style="17" customWidth="1"/>
    <col min="9180" max="9424" width="9.140625" style="17"/>
    <col min="9425" max="9425" width="1.140625" style="17" customWidth="1"/>
    <col min="9426" max="9426" width="20.42578125" style="17" customWidth="1"/>
    <col min="9427" max="9435" width="7.5703125" style="17" customWidth="1"/>
    <col min="9436" max="9680" width="9.140625" style="17"/>
    <col min="9681" max="9681" width="1.140625" style="17" customWidth="1"/>
    <col min="9682" max="9682" width="20.42578125" style="17" customWidth="1"/>
    <col min="9683" max="9691" width="7.5703125" style="17" customWidth="1"/>
    <col min="9692" max="9936" width="9.140625" style="17"/>
    <col min="9937" max="9937" width="1.140625" style="17" customWidth="1"/>
    <col min="9938" max="9938" width="20.42578125" style="17" customWidth="1"/>
    <col min="9939" max="9947" width="7.5703125" style="17" customWidth="1"/>
    <col min="9948" max="10192" width="9.140625" style="17"/>
    <col min="10193" max="10193" width="1.140625" style="17" customWidth="1"/>
    <col min="10194" max="10194" width="20.42578125" style="17" customWidth="1"/>
    <col min="10195" max="10203" width="7.5703125" style="17" customWidth="1"/>
    <col min="10204" max="10448" width="9.140625" style="17"/>
    <col min="10449" max="10449" width="1.140625" style="17" customWidth="1"/>
    <col min="10450" max="10450" width="20.42578125" style="17" customWidth="1"/>
    <col min="10451" max="10459" width="7.5703125" style="17" customWidth="1"/>
    <col min="10460" max="10704" width="9.140625" style="17"/>
    <col min="10705" max="10705" width="1.140625" style="17" customWidth="1"/>
    <col min="10706" max="10706" width="20.42578125" style="17" customWidth="1"/>
    <col min="10707" max="10715" width="7.5703125" style="17" customWidth="1"/>
    <col min="10716" max="10960" width="9.140625" style="17"/>
    <col min="10961" max="10961" width="1.140625" style="17" customWidth="1"/>
    <col min="10962" max="10962" width="20.42578125" style="17" customWidth="1"/>
    <col min="10963" max="10971" width="7.5703125" style="17" customWidth="1"/>
    <col min="10972" max="11216" width="9.140625" style="17"/>
    <col min="11217" max="11217" width="1.140625" style="17" customWidth="1"/>
    <col min="11218" max="11218" width="20.42578125" style="17" customWidth="1"/>
    <col min="11219" max="11227" width="7.5703125" style="17" customWidth="1"/>
    <col min="11228" max="11472" width="9.140625" style="17"/>
    <col min="11473" max="11473" width="1.140625" style="17" customWidth="1"/>
    <col min="11474" max="11474" width="20.42578125" style="17" customWidth="1"/>
    <col min="11475" max="11483" width="7.5703125" style="17" customWidth="1"/>
    <col min="11484" max="11728" width="9.140625" style="17"/>
    <col min="11729" max="11729" width="1.140625" style="17" customWidth="1"/>
    <col min="11730" max="11730" width="20.42578125" style="17" customWidth="1"/>
    <col min="11731" max="11739" width="7.5703125" style="17" customWidth="1"/>
    <col min="11740" max="11984" width="9.140625" style="17"/>
    <col min="11985" max="11985" width="1.140625" style="17" customWidth="1"/>
    <col min="11986" max="11986" width="20.42578125" style="17" customWidth="1"/>
    <col min="11987" max="11995" width="7.5703125" style="17" customWidth="1"/>
    <col min="11996" max="12240" width="9.140625" style="17"/>
    <col min="12241" max="12241" width="1.140625" style="17" customWidth="1"/>
    <col min="12242" max="12242" width="20.42578125" style="17" customWidth="1"/>
    <col min="12243" max="12251" width="7.5703125" style="17" customWidth="1"/>
    <col min="12252" max="12496" width="9.140625" style="17"/>
    <col min="12497" max="12497" width="1.140625" style="17" customWidth="1"/>
    <col min="12498" max="12498" width="20.42578125" style="17" customWidth="1"/>
    <col min="12499" max="12507" width="7.5703125" style="17" customWidth="1"/>
    <col min="12508" max="12752" width="9.140625" style="17"/>
    <col min="12753" max="12753" width="1.140625" style="17" customWidth="1"/>
    <col min="12754" max="12754" width="20.42578125" style="17" customWidth="1"/>
    <col min="12755" max="12763" width="7.5703125" style="17" customWidth="1"/>
    <col min="12764" max="13008" width="9.140625" style="17"/>
    <col min="13009" max="13009" width="1.140625" style="17" customWidth="1"/>
    <col min="13010" max="13010" width="20.42578125" style="17" customWidth="1"/>
    <col min="13011" max="13019" width="7.5703125" style="17" customWidth="1"/>
    <col min="13020" max="13264" width="9.140625" style="17"/>
    <col min="13265" max="13265" width="1.140625" style="17" customWidth="1"/>
    <col min="13266" max="13266" width="20.42578125" style="17" customWidth="1"/>
    <col min="13267" max="13275" width="7.5703125" style="17" customWidth="1"/>
    <col min="13276" max="13520" width="9.140625" style="17"/>
    <col min="13521" max="13521" width="1.140625" style="17" customWidth="1"/>
    <col min="13522" max="13522" width="20.42578125" style="17" customWidth="1"/>
    <col min="13523" max="13531" width="7.5703125" style="17" customWidth="1"/>
    <col min="13532" max="13776" width="9.140625" style="17"/>
    <col min="13777" max="13777" width="1.140625" style="17" customWidth="1"/>
    <col min="13778" max="13778" width="20.42578125" style="17" customWidth="1"/>
    <col min="13779" max="13787" width="7.5703125" style="17" customWidth="1"/>
    <col min="13788" max="14032" width="9.140625" style="17"/>
    <col min="14033" max="14033" width="1.140625" style="17" customWidth="1"/>
    <col min="14034" max="14034" width="20.42578125" style="17" customWidth="1"/>
    <col min="14035" max="14043" width="7.5703125" style="17" customWidth="1"/>
    <col min="14044" max="14288" width="9.140625" style="17"/>
    <col min="14289" max="14289" width="1.140625" style="17" customWidth="1"/>
    <col min="14290" max="14290" width="20.42578125" style="17" customWidth="1"/>
    <col min="14291" max="14299" width="7.5703125" style="17" customWidth="1"/>
    <col min="14300" max="14544" width="9.140625" style="17"/>
    <col min="14545" max="14545" width="1.140625" style="17" customWidth="1"/>
    <col min="14546" max="14546" width="20.42578125" style="17" customWidth="1"/>
    <col min="14547" max="14555" width="7.5703125" style="17" customWidth="1"/>
    <col min="14556" max="14800" width="9.140625" style="17"/>
    <col min="14801" max="14801" width="1.140625" style="17" customWidth="1"/>
    <col min="14802" max="14802" width="20.42578125" style="17" customWidth="1"/>
    <col min="14803" max="14811" width="7.5703125" style="17" customWidth="1"/>
    <col min="14812" max="15056" width="9.140625" style="17"/>
    <col min="15057" max="15057" width="1.140625" style="17" customWidth="1"/>
    <col min="15058" max="15058" width="20.42578125" style="17" customWidth="1"/>
    <col min="15059" max="15067" width="7.5703125" style="17" customWidth="1"/>
    <col min="15068" max="15312" width="9.140625" style="17"/>
    <col min="15313" max="15313" width="1.140625" style="17" customWidth="1"/>
    <col min="15314" max="15314" width="20.42578125" style="17" customWidth="1"/>
    <col min="15315" max="15323" width="7.5703125" style="17" customWidth="1"/>
    <col min="15324" max="15568" width="9.140625" style="17"/>
    <col min="15569" max="15569" width="1.140625" style="17" customWidth="1"/>
    <col min="15570" max="15570" width="20.42578125" style="17" customWidth="1"/>
    <col min="15571" max="15579" width="7.5703125" style="17" customWidth="1"/>
    <col min="15580" max="15824" width="9.140625" style="17"/>
    <col min="15825" max="15825" width="1.140625" style="17" customWidth="1"/>
    <col min="15826" max="15826" width="20.42578125" style="17" customWidth="1"/>
    <col min="15827" max="15835" width="7.5703125" style="17" customWidth="1"/>
    <col min="15836" max="16080" width="9.140625" style="17"/>
    <col min="16081" max="16081" width="1.140625" style="17" customWidth="1"/>
    <col min="16082" max="16082" width="20.42578125" style="17" customWidth="1"/>
    <col min="16083" max="16091" width="7.5703125" style="17" customWidth="1"/>
    <col min="16092" max="16333" width="9.140625" style="17"/>
    <col min="16334" max="16336" width="9" style="17" customWidth="1"/>
    <col min="16337" max="16384" width="9.140625" style="17"/>
  </cols>
  <sheetData>
    <row r="1" spans="2:14" ht="11.25" customHeight="1">
      <c r="B1" s="7"/>
      <c r="C1" s="8"/>
      <c r="D1" s="8"/>
      <c r="E1" s="9"/>
      <c r="F1" s="8"/>
      <c r="G1" s="8"/>
      <c r="H1" s="9"/>
      <c r="I1" s="8"/>
      <c r="J1" s="8"/>
      <c r="K1" s="10"/>
      <c r="L1" s="8"/>
      <c r="M1" s="8"/>
    </row>
    <row r="2" spans="2:14" ht="23.25" customHeight="1">
      <c r="B2" s="107" t="s">
        <v>40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2:14" ht="23.25" customHeight="1">
      <c r="B3" s="99" t="s">
        <v>8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2:14" ht="30" customHeight="1">
      <c r="B4" s="102" t="s">
        <v>2</v>
      </c>
      <c r="C4" s="102" t="s">
        <v>28</v>
      </c>
      <c r="D4" s="102"/>
      <c r="E4" s="102"/>
      <c r="F4" s="102" t="s">
        <v>29</v>
      </c>
      <c r="G4" s="102"/>
      <c r="H4" s="102"/>
      <c r="I4" s="102" t="s">
        <v>27</v>
      </c>
      <c r="J4" s="102"/>
      <c r="K4" s="102"/>
      <c r="L4" s="102" t="s">
        <v>30</v>
      </c>
      <c r="M4" s="102"/>
      <c r="N4" s="102"/>
    </row>
    <row r="5" spans="2:14" ht="30" customHeight="1">
      <c r="B5" s="102"/>
      <c r="C5" s="48" t="s">
        <v>0</v>
      </c>
      <c r="D5" s="48" t="s">
        <v>22</v>
      </c>
      <c r="E5" s="48" t="s">
        <v>23</v>
      </c>
      <c r="F5" s="48" t="s">
        <v>0</v>
      </c>
      <c r="G5" s="48" t="s">
        <v>22</v>
      </c>
      <c r="H5" s="48" t="s">
        <v>23</v>
      </c>
      <c r="I5" s="48" t="s">
        <v>0</v>
      </c>
      <c r="J5" s="48" t="s">
        <v>22</v>
      </c>
      <c r="K5" s="48" t="s">
        <v>23</v>
      </c>
      <c r="L5" s="48" t="s">
        <v>0</v>
      </c>
      <c r="M5" s="48" t="s">
        <v>22</v>
      </c>
      <c r="N5" s="48" t="s">
        <v>23</v>
      </c>
    </row>
    <row r="6" spans="2:14" ht="30" customHeight="1" thickBot="1">
      <c r="B6" s="53" t="s">
        <v>6</v>
      </c>
      <c r="C6" s="39">
        <v>400</v>
      </c>
      <c r="D6" s="40">
        <v>16800</v>
      </c>
      <c r="E6" s="41">
        <f>D6/C6</f>
        <v>42</v>
      </c>
      <c r="F6" s="39">
        <v>0</v>
      </c>
      <c r="G6" s="40">
        <v>0</v>
      </c>
      <c r="H6" s="41">
        <v>0</v>
      </c>
      <c r="I6" s="39">
        <v>500</v>
      </c>
      <c r="J6" s="40">
        <v>22500</v>
      </c>
      <c r="K6" s="41">
        <f t="shared" ref="K6:K15" si="0">J6/I6</f>
        <v>45</v>
      </c>
      <c r="L6" s="76">
        <f>I6+F6+C6</f>
        <v>900</v>
      </c>
      <c r="M6" s="78">
        <f>J6+G6+D6</f>
        <v>39300</v>
      </c>
      <c r="N6" s="79">
        <f t="shared" ref="N6:N14" si="1">M6/L6</f>
        <v>43.666666666666664</v>
      </c>
    </row>
    <row r="7" spans="2:14" ht="30" customHeight="1" thickTop="1" thickBot="1">
      <c r="B7" s="52" t="s">
        <v>15</v>
      </c>
      <c r="C7" s="35">
        <v>300</v>
      </c>
      <c r="D7" s="40">
        <v>16800</v>
      </c>
      <c r="E7" s="41">
        <f t="shared" ref="E7:E15" si="2">D7/C7</f>
        <v>56</v>
      </c>
      <c r="F7" s="38">
        <v>0</v>
      </c>
      <c r="G7" s="40">
        <v>0</v>
      </c>
      <c r="H7" s="41">
        <v>0</v>
      </c>
      <c r="I7" s="27">
        <v>400</v>
      </c>
      <c r="J7" s="40">
        <v>19600</v>
      </c>
      <c r="K7" s="41">
        <f t="shared" si="0"/>
        <v>49</v>
      </c>
      <c r="L7" s="27">
        <f t="shared" ref="L7:L14" si="3">I7+F7+C7</f>
        <v>700</v>
      </c>
      <c r="M7" s="28">
        <f t="shared" ref="M7:M14" si="4">J7+G7+D7</f>
        <v>36400</v>
      </c>
      <c r="N7" s="42">
        <f t="shared" si="1"/>
        <v>52</v>
      </c>
    </row>
    <row r="8" spans="2:14" ht="30" customHeight="1" thickTop="1" thickBot="1">
      <c r="B8" s="52" t="s">
        <v>14</v>
      </c>
      <c r="C8" s="35">
        <v>0</v>
      </c>
      <c r="D8" s="40">
        <v>0</v>
      </c>
      <c r="E8" s="41">
        <v>0</v>
      </c>
      <c r="F8" s="38">
        <v>0</v>
      </c>
      <c r="G8" s="40">
        <v>0</v>
      </c>
      <c r="H8" s="41">
        <v>0</v>
      </c>
      <c r="I8" s="38">
        <v>12400</v>
      </c>
      <c r="J8" s="40">
        <v>508400</v>
      </c>
      <c r="K8" s="41">
        <f t="shared" si="0"/>
        <v>41</v>
      </c>
      <c r="L8" s="27">
        <f t="shared" si="3"/>
        <v>12400</v>
      </c>
      <c r="M8" s="28">
        <f t="shared" si="4"/>
        <v>508400</v>
      </c>
      <c r="N8" s="42">
        <f t="shared" si="1"/>
        <v>41</v>
      </c>
    </row>
    <row r="9" spans="2:14" ht="30" customHeight="1" thickTop="1" thickBot="1">
      <c r="B9" s="52" t="s">
        <v>9</v>
      </c>
      <c r="C9" s="35">
        <v>1700</v>
      </c>
      <c r="D9" s="40">
        <v>62900</v>
      </c>
      <c r="E9" s="41">
        <f t="shared" si="2"/>
        <v>37</v>
      </c>
      <c r="F9" s="38">
        <v>0</v>
      </c>
      <c r="G9" s="40">
        <v>0</v>
      </c>
      <c r="H9" s="41">
        <v>0</v>
      </c>
      <c r="I9" s="27">
        <v>3800</v>
      </c>
      <c r="J9" s="40">
        <v>140600</v>
      </c>
      <c r="K9" s="41">
        <f t="shared" si="0"/>
        <v>37</v>
      </c>
      <c r="L9" s="27">
        <f t="shared" si="3"/>
        <v>5500</v>
      </c>
      <c r="M9" s="28">
        <f t="shared" si="4"/>
        <v>203500</v>
      </c>
      <c r="N9" s="42">
        <f t="shared" si="1"/>
        <v>37</v>
      </c>
    </row>
    <row r="10" spans="2:14" ht="30" customHeight="1" thickTop="1" thickBot="1">
      <c r="B10" s="52" t="s">
        <v>7</v>
      </c>
      <c r="C10" s="35">
        <v>0</v>
      </c>
      <c r="D10" s="40">
        <v>0</v>
      </c>
      <c r="E10" s="41">
        <v>0</v>
      </c>
      <c r="F10" s="38">
        <v>14000</v>
      </c>
      <c r="G10" s="40">
        <v>470000</v>
      </c>
      <c r="H10" s="41">
        <f t="shared" ref="H10:H15" si="5">G10/F10</f>
        <v>33.571428571428569</v>
      </c>
      <c r="I10" s="38">
        <v>3450</v>
      </c>
      <c r="J10" s="40">
        <v>112000</v>
      </c>
      <c r="K10" s="41">
        <f t="shared" si="0"/>
        <v>32.463768115942031</v>
      </c>
      <c r="L10" s="27">
        <f t="shared" si="3"/>
        <v>17450</v>
      </c>
      <c r="M10" s="28">
        <f t="shared" si="4"/>
        <v>582000</v>
      </c>
      <c r="N10" s="42">
        <f t="shared" si="1"/>
        <v>33.352435530085963</v>
      </c>
    </row>
    <row r="11" spans="2:14" ht="30" customHeight="1" thickTop="1" thickBot="1">
      <c r="B11" s="52" t="s">
        <v>3</v>
      </c>
      <c r="C11" s="35">
        <v>240</v>
      </c>
      <c r="D11" s="40">
        <v>12000</v>
      </c>
      <c r="E11" s="41">
        <f t="shared" si="2"/>
        <v>50</v>
      </c>
      <c r="F11" s="38">
        <v>0</v>
      </c>
      <c r="G11" s="40">
        <v>0</v>
      </c>
      <c r="H11" s="41">
        <v>0</v>
      </c>
      <c r="I11" s="38">
        <v>1500</v>
      </c>
      <c r="J11" s="40">
        <v>84000</v>
      </c>
      <c r="K11" s="41">
        <f t="shared" si="0"/>
        <v>56</v>
      </c>
      <c r="L11" s="27">
        <f>I11+F11+C11</f>
        <v>1740</v>
      </c>
      <c r="M11" s="28">
        <f t="shared" si="4"/>
        <v>96000</v>
      </c>
      <c r="N11" s="42">
        <f>M11/L11</f>
        <v>55.172413793103445</v>
      </c>
    </row>
    <row r="12" spans="2:14" ht="30" customHeight="1" thickTop="1" thickBot="1">
      <c r="B12" s="52" t="s">
        <v>16</v>
      </c>
      <c r="C12" s="35">
        <v>5000</v>
      </c>
      <c r="D12" s="40">
        <v>190000</v>
      </c>
      <c r="E12" s="41">
        <f t="shared" si="2"/>
        <v>38</v>
      </c>
      <c r="F12" s="38">
        <v>120</v>
      </c>
      <c r="G12" s="40">
        <v>4440</v>
      </c>
      <c r="H12" s="41">
        <f t="shared" si="5"/>
        <v>37</v>
      </c>
      <c r="I12" s="38">
        <v>3400</v>
      </c>
      <c r="J12" s="40">
        <v>136000</v>
      </c>
      <c r="K12" s="41">
        <f t="shared" si="0"/>
        <v>40</v>
      </c>
      <c r="L12" s="27">
        <f t="shared" si="3"/>
        <v>8520</v>
      </c>
      <c r="M12" s="28">
        <f t="shared" si="4"/>
        <v>330440</v>
      </c>
      <c r="N12" s="42">
        <f t="shared" si="1"/>
        <v>38.784037558685448</v>
      </c>
    </row>
    <row r="13" spans="2:14" ht="30" customHeight="1" thickTop="1" thickBot="1">
      <c r="B13" s="52" t="s">
        <v>21</v>
      </c>
      <c r="C13" s="35">
        <v>0</v>
      </c>
      <c r="D13" s="40">
        <v>0</v>
      </c>
      <c r="E13" s="41">
        <v>0</v>
      </c>
      <c r="F13" s="38">
        <v>0</v>
      </c>
      <c r="G13" s="40">
        <v>0</v>
      </c>
      <c r="H13" s="41">
        <v>0</v>
      </c>
      <c r="I13" s="38">
        <v>70</v>
      </c>
      <c r="J13" s="40">
        <v>4550</v>
      </c>
      <c r="K13" s="41">
        <f t="shared" si="0"/>
        <v>65</v>
      </c>
      <c r="L13" s="27">
        <f t="shared" si="3"/>
        <v>70</v>
      </c>
      <c r="M13" s="28">
        <f t="shared" si="4"/>
        <v>4550</v>
      </c>
      <c r="N13" s="42">
        <f t="shared" si="1"/>
        <v>65</v>
      </c>
    </row>
    <row r="14" spans="2:14" ht="30" customHeight="1" thickTop="1">
      <c r="B14" s="55" t="s">
        <v>31</v>
      </c>
      <c r="C14" s="73">
        <v>0</v>
      </c>
      <c r="D14" s="80">
        <v>0</v>
      </c>
      <c r="E14" s="81">
        <v>0</v>
      </c>
      <c r="F14" s="72">
        <v>0</v>
      </c>
      <c r="G14" s="80">
        <v>0</v>
      </c>
      <c r="H14" s="81">
        <v>0</v>
      </c>
      <c r="I14" s="72">
        <v>2000</v>
      </c>
      <c r="J14" s="80">
        <v>75000</v>
      </c>
      <c r="K14" s="81">
        <f t="shared" si="0"/>
        <v>37.5</v>
      </c>
      <c r="L14" s="65">
        <f t="shared" si="3"/>
        <v>2000</v>
      </c>
      <c r="M14" s="82">
        <f t="shared" si="4"/>
        <v>75000</v>
      </c>
      <c r="N14" s="42">
        <f t="shared" si="1"/>
        <v>37.5</v>
      </c>
    </row>
    <row r="15" spans="2:14" ht="30" customHeight="1">
      <c r="B15" s="62" t="s">
        <v>13</v>
      </c>
      <c r="C15" s="63">
        <f>SUM(C6:C14)</f>
        <v>7640</v>
      </c>
      <c r="D15" s="63">
        <f>SUM(D6:D14)</f>
        <v>298500</v>
      </c>
      <c r="E15" s="75">
        <f t="shared" si="2"/>
        <v>39.07068062827225</v>
      </c>
      <c r="F15" s="63">
        <f>SUM(F6:F14)</f>
        <v>14120</v>
      </c>
      <c r="G15" s="63">
        <f>SUM(G6:G14)</f>
        <v>474440</v>
      </c>
      <c r="H15" s="75">
        <f t="shared" si="5"/>
        <v>33.600566572237959</v>
      </c>
      <c r="I15" s="63">
        <f>SUM(I6:I14)</f>
        <v>27520</v>
      </c>
      <c r="J15" s="63">
        <f>SUM(J6:J14)</f>
        <v>1102650</v>
      </c>
      <c r="K15" s="75">
        <f t="shared" si="0"/>
        <v>40.067223837209305</v>
      </c>
      <c r="L15" s="63">
        <f>SUM(L6:L14)</f>
        <v>49280</v>
      </c>
      <c r="M15" s="70">
        <f>SUM(M6:M14)</f>
        <v>1875590</v>
      </c>
      <c r="N15" s="43">
        <f>M15/L15</f>
        <v>38.059862012987011</v>
      </c>
    </row>
    <row r="16" spans="2:14" ht="15.75" customHeight="1">
      <c r="B16" s="108"/>
      <c r="C16" s="108"/>
      <c r="D16" s="108"/>
      <c r="E16" s="108"/>
      <c r="F16" s="108"/>
      <c r="G16" s="108"/>
      <c r="H16" s="108"/>
      <c r="I16" s="108"/>
      <c r="J16" s="108"/>
      <c r="K16" s="18"/>
      <c r="L16" s="11"/>
      <c r="M16" s="11"/>
    </row>
    <row r="17" spans="15:15">
      <c r="O17" s="19" t="s">
        <v>32</v>
      </c>
    </row>
  </sheetData>
  <mergeCells count="8">
    <mergeCell ref="B2:N2"/>
    <mergeCell ref="F4:H4"/>
    <mergeCell ref="I4:K4"/>
    <mergeCell ref="B16:J16"/>
    <mergeCell ref="B4:B5"/>
    <mergeCell ref="C4:E4"/>
    <mergeCell ref="L4:N4"/>
    <mergeCell ref="B3:N3"/>
  </mergeCells>
  <pageMargins left="0.70866141732283472" right="0.70866141732283472" top="0.74803149606299213" bottom="0.74803149606299213" header="0.31496062992125984" footer="0.31496062992125984"/>
  <pageSetup scale="87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15"/>
  <sheetViews>
    <sheetView rightToLeft="1" zoomScaleNormal="100" workbookViewId="0">
      <selection activeCell="A4" sqref="A4:XFD14"/>
    </sheetView>
  </sheetViews>
  <sheetFormatPr defaultRowHeight="15"/>
  <cols>
    <col min="1" max="1" width="1.85546875" style="17" customWidth="1"/>
    <col min="2" max="2" width="14.85546875" style="17" customWidth="1"/>
    <col min="3" max="3" width="7.7109375" style="17" bestFit="1" customWidth="1"/>
    <col min="4" max="4" width="9.42578125" style="17" bestFit="1" customWidth="1"/>
    <col min="5" max="5" width="14.140625" style="17" bestFit="1" customWidth="1"/>
    <col min="6" max="6" width="7.7109375" style="17" bestFit="1" customWidth="1"/>
    <col min="7" max="7" width="9.42578125" style="17" bestFit="1" customWidth="1"/>
    <col min="8" max="8" width="14.140625" style="17" bestFit="1" customWidth="1"/>
    <col min="9" max="9" width="9.42578125" style="17" bestFit="1" customWidth="1"/>
    <col min="10" max="10" width="14.42578125" style="17" customWidth="1"/>
    <col min="11" max="11" width="9.7109375" style="17" customWidth="1"/>
    <col min="12" max="12" width="9.42578125" style="17" bestFit="1" customWidth="1"/>
    <col min="13" max="13" width="13.85546875" style="17" customWidth="1"/>
    <col min="14" max="14" width="10" style="17" bestFit="1" customWidth="1"/>
    <col min="15" max="208" width="9.140625" style="17"/>
    <col min="209" max="209" width="1.140625" style="17" customWidth="1"/>
    <col min="210" max="210" width="20.42578125" style="17" customWidth="1"/>
    <col min="211" max="219" width="7.5703125" style="17" customWidth="1"/>
    <col min="220" max="464" width="9.140625" style="17"/>
    <col min="465" max="465" width="1.140625" style="17" customWidth="1"/>
    <col min="466" max="466" width="20.42578125" style="17" customWidth="1"/>
    <col min="467" max="475" width="7.5703125" style="17" customWidth="1"/>
    <col min="476" max="720" width="9.140625" style="17"/>
    <col min="721" max="721" width="1.140625" style="17" customWidth="1"/>
    <col min="722" max="722" width="20.42578125" style="17" customWidth="1"/>
    <col min="723" max="731" width="7.5703125" style="17" customWidth="1"/>
    <col min="732" max="976" width="9.140625" style="17"/>
    <col min="977" max="977" width="1.140625" style="17" customWidth="1"/>
    <col min="978" max="978" width="20.42578125" style="17" customWidth="1"/>
    <col min="979" max="987" width="7.5703125" style="17" customWidth="1"/>
    <col min="988" max="1232" width="9.140625" style="17"/>
    <col min="1233" max="1233" width="1.140625" style="17" customWidth="1"/>
    <col min="1234" max="1234" width="20.42578125" style="17" customWidth="1"/>
    <col min="1235" max="1243" width="7.5703125" style="17" customWidth="1"/>
    <col min="1244" max="1488" width="9.140625" style="17"/>
    <col min="1489" max="1489" width="1.140625" style="17" customWidth="1"/>
    <col min="1490" max="1490" width="20.42578125" style="17" customWidth="1"/>
    <col min="1491" max="1499" width="7.5703125" style="17" customWidth="1"/>
    <col min="1500" max="1744" width="9.140625" style="17"/>
    <col min="1745" max="1745" width="1.140625" style="17" customWidth="1"/>
    <col min="1746" max="1746" width="20.42578125" style="17" customWidth="1"/>
    <col min="1747" max="1755" width="7.5703125" style="17" customWidth="1"/>
    <col min="1756" max="2000" width="9.140625" style="17"/>
    <col min="2001" max="2001" width="1.140625" style="17" customWidth="1"/>
    <col min="2002" max="2002" width="20.42578125" style="17" customWidth="1"/>
    <col min="2003" max="2011" width="7.5703125" style="17" customWidth="1"/>
    <col min="2012" max="2256" width="9.140625" style="17"/>
    <col min="2257" max="2257" width="1.140625" style="17" customWidth="1"/>
    <col min="2258" max="2258" width="20.42578125" style="17" customWidth="1"/>
    <col min="2259" max="2267" width="7.5703125" style="17" customWidth="1"/>
    <col min="2268" max="2512" width="9.140625" style="17"/>
    <col min="2513" max="2513" width="1.140625" style="17" customWidth="1"/>
    <col min="2514" max="2514" width="20.42578125" style="17" customWidth="1"/>
    <col min="2515" max="2523" width="7.5703125" style="17" customWidth="1"/>
    <col min="2524" max="2768" width="9.140625" style="17"/>
    <col min="2769" max="2769" width="1.140625" style="17" customWidth="1"/>
    <col min="2770" max="2770" width="20.42578125" style="17" customWidth="1"/>
    <col min="2771" max="2779" width="7.5703125" style="17" customWidth="1"/>
    <col min="2780" max="3024" width="9.140625" style="17"/>
    <col min="3025" max="3025" width="1.140625" style="17" customWidth="1"/>
    <col min="3026" max="3026" width="20.42578125" style="17" customWidth="1"/>
    <col min="3027" max="3035" width="7.5703125" style="17" customWidth="1"/>
    <col min="3036" max="3280" width="9.140625" style="17"/>
    <col min="3281" max="3281" width="1.140625" style="17" customWidth="1"/>
    <col min="3282" max="3282" width="20.42578125" style="17" customWidth="1"/>
    <col min="3283" max="3291" width="7.5703125" style="17" customWidth="1"/>
    <col min="3292" max="3536" width="9.140625" style="17"/>
    <col min="3537" max="3537" width="1.140625" style="17" customWidth="1"/>
    <col min="3538" max="3538" width="20.42578125" style="17" customWidth="1"/>
    <col min="3539" max="3547" width="7.5703125" style="17" customWidth="1"/>
    <col min="3548" max="3792" width="9.140625" style="17"/>
    <col min="3793" max="3793" width="1.140625" style="17" customWidth="1"/>
    <col min="3794" max="3794" width="20.42578125" style="17" customWidth="1"/>
    <col min="3795" max="3803" width="7.5703125" style="17" customWidth="1"/>
    <col min="3804" max="4048" width="9.140625" style="17"/>
    <col min="4049" max="4049" width="1.140625" style="17" customWidth="1"/>
    <col min="4050" max="4050" width="20.42578125" style="17" customWidth="1"/>
    <col min="4051" max="4059" width="7.5703125" style="17" customWidth="1"/>
    <col min="4060" max="4304" width="9.140625" style="17"/>
    <col min="4305" max="4305" width="1.140625" style="17" customWidth="1"/>
    <col min="4306" max="4306" width="20.42578125" style="17" customWidth="1"/>
    <col min="4307" max="4315" width="7.5703125" style="17" customWidth="1"/>
    <col min="4316" max="4560" width="9.140625" style="17"/>
    <col min="4561" max="4561" width="1.140625" style="17" customWidth="1"/>
    <col min="4562" max="4562" width="20.42578125" style="17" customWidth="1"/>
    <col min="4563" max="4571" width="7.5703125" style="17" customWidth="1"/>
    <col min="4572" max="4816" width="9.140625" style="17"/>
    <col min="4817" max="4817" width="1.140625" style="17" customWidth="1"/>
    <col min="4818" max="4818" width="20.42578125" style="17" customWidth="1"/>
    <col min="4819" max="4827" width="7.5703125" style="17" customWidth="1"/>
    <col min="4828" max="5072" width="9.140625" style="17"/>
    <col min="5073" max="5073" width="1.140625" style="17" customWidth="1"/>
    <col min="5074" max="5074" width="20.42578125" style="17" customWidth="1"/>
    <col min="5075" max="5083" width="7.5703125" style="17" customWidth="1"/>
    <col min="5084" max="5328" width="9.140625" style="17"/>
    <col min="5329" max="5329" width="1.140625" style="17" customWidth="1"/>
    <col min="5330" max="5330" width="20.42578125" style="17" customWidth="1"/>
    <col min="5331" max="5339" width="7.5703125" style="17" customWidth="1"/>
    <col min="5340" max="5584" width="9.140625" style="17"/>
    <col min="5585" max="5585" width="1.140625" style="17" customWidth="1"/>
    <col min="5586" max="5586" width="20.42578125" style="17" customWidth="1"/>
    <col min="5587" max="5595" width="7.5703125" style="17" customWidth="1"/>
    <col min="5596" max="5840" width="9.140625" style="17"/>
    <col min="5841" max="5841" width="1.140625" style="17" customWidth="1"/>
    <col min="5842" max="5842" width="20.42578125" style="17" customWidth="1"/>
    <col min="5843" max="5851" width="7.5703125" style="17" customWidth="1"/>
    <col min="5852" max="6096" width="9.140625" style="17"/>
    <col min="6097" max="6097" width="1.140625" style="17" customWidth="1"/>
    <col min="6098" max="6098" width="20.42578125" style="17" customWidth="1"/>
    <col min="6099" max="6107" width="7.5703125" style="17" customWidth="1"/>
    <col min="6108" max="6352" width="9.140625" style="17"/>
    <col min="6353" max="6353" width="1.140625" style="17" customWidth="1"/>
    <col min="6354" max="6354" width="20.42578125" style="17" customWidth="1"/>
    <col min="6355" max="6363" width="7.5703125" style="17" customWidth="1"/>
    <col min="6364" max="6608" width="9.140625" style="17"/>
    <col min="6609" max="6609" width="1.140625" style="17" customWidth="1"/>
    <col min="6610" max="6610" width="20.42578125" style="17" customWidth="1"/>
    <col min="6611" max="6619" width="7.5703125" style="17" customWidth="1"/>
    <col min="6620" max="6864" width="9.140625" style="17"/>
    <col min="6865" max="6865" width="1.140625" style="17" customWidth="1"/>
    <col min="6866" max="6866" width="20.42578125" style="17" customWidth="1"/>
    <col min="6867" max="6875" width="7.5703125" style="17" customWidth="1"/>
    <col min="6876" max="7120" width="9.140625" style="17"/>
    <col min="7121" max="7121" width="1.140625" style="17" customWidth="1"/>
    <col min="7122" max="7122" width="20.42578125" style="17" customWidth="1"/>
    <col min="7123" max="7131" width="7.5703125" style="17" customWidth="1"/>
    <col min="7132" max="7376" width="9.140625" style="17"/>
    <col min="7377" max="7377" width="1.140625" style="17" customWidth="1"/>
    <col min="7378" max="7378" width="20.42578125" style="17" customWidth="1"/>
    <col min="7379" max="7387" width="7.5703125" style="17" customWidth="1"/>
    <col min="7388" max="7632" width="9.140625" style="17"/>
    <col min="7633" max="7633" width="1.140625" style="17" customWidth="1"/>
    <col min="7634" max="7634" width="20.42578125" style="17" customWidth="1"/>
    <col min="7635" max="7643" width="7.5703125" style="17" customWidth="1"/>
    <col min="7644" max="7888" width="9.140625" style="17"/>
    <col min="7889" max="7889" width="1.140625" style="17" customWidth="1"/>
    <col min="7890" max="7890" width="20.42578125" style="17" customWidth="1"/>
    <col min="7891" max="7899" width="7.5703125" style="17" customWidth="1"/>
    <col min="7900" max="8144" width="9.140625" style="17"/>
    <col min="8145" max="8145" width="1.140625" style="17" customWidth="1"/>
    <col min="8146" max="8146" width="20.42578125" style="17" customWidth="1"/>
    <col min="8147" max="8155" width="7.5703125" style="17" customWidth="1"/>
    <col min="8156" max="8400" width="9.140625" style="17"/>
    <col min="8401" max="8401" width="1.140625" style="17" customWidth="1"/>
    <col min="8402" max="8402" width="20.42578125" style="17" customWidth="1"/>
    <col min="8403" max="8411" width="7.5703125" style="17" customWidth="1"/>
    <col min="8412" max="8656" width="9.140625" style="17"/>
    <col min="8657" max="8657" width="1.140625" style="17" customWidth="1"/>
    <col min="8658" max="8658" width="20.42578125" style="17" customWidth="1"/>
    <col min="8659" max="8667" width="7.5703125" style="17" customWidth="1"/>
    <col min="8668" max="8912" width="9.140625" style="17"/>
    <col min="8913" max="8913" width="1.140625" style="17" customWidth="1"/>
    <col min="8914" max="8914" width="20.42578125" style="17" customWidth="1"/>
    <col min="8915" max="8923" width="7.5703125" style="17" customWidth="1"/>
    <col min="8924" max="9168" width="9.140625" style="17"/>
    <col min="9169" max="9169" width="1.140625" style="17" customWidth="1"/>
    <col min="9170" max="9170" width="20.42578125" style="17" customWidth="1"/>
    <col min="9171" max="9179" width="7.5703125" style="17" customWidth="1"/>
    <col min="9180" max="9424" width="9.140625" style="17"/>
    <col min="9425" max="9425" width="1.140625" style="17" customWidth="1"/>
    <col min="9426" max="9426" width="20.42578125" style="17" customWidth="1"/>
    <col min="9427" max="9435" width="7.5703125" style="17" customWidth="1"/>
    <col min="9436" max="9680" width="9.140625" style="17"/>
    <col min="9681" max="9681" width="1.140625" style="17" customWidth="1"/>
    <col min="9682" max="9682" width="20.42578125" style="17" customWidth="1"/>
    <col min="9683" max="9691" width="7.5703125" style="17" customWidth="1"/>
    <col min="9692" max="9936" width="9.140625" style="17"/>
    <col min="9937" max="9937" width="1.140625" style="17" customWidth="1"/>
    <col min="9938" max="9938" width="20.42578125" style="17" customWidth="1"/>
    <col min="9939" max="9947" width="7.5703125" style="17" customWidth="1"/>
    <col min="9948" max="10192" width="9.140625" style="17"/>
    <col min="10193" max="10193" width="1.140625" style="17" customWidth="1"/>
    <col min="10194" max="10194" width="20.42578125" style="17" customWidth="1"/>
    <col min="10195" max="10203" width="7.5703125" style="17" customWidth="1"/>
    <col min="10204" max="10448" width="9.140625" style="17"/>
    <col min="10449" max="10449" width="1.140625" style="17" customWidth="1"/>
    <col min="10450" max="10450" width="20.42578125" style="17" customWidth="1"/>
    <col min="10451" max="10459" width="7.5703125" style="17" customWidth="1"/>
    <col min="10460" max="10704" width="9.140625" style="17"/>
    <col min="10705" max="10705" width="1.140625" style="17" customWidth="1"/>
    <col min="10706" max="10706" width="20.42578125" style="17" customWidth="1"/>
    <col min="10707" max="10715" width="7.5703125" style="17" customWidth="1"/>
    <col min="10716" max="10960" width="9.140625" style="17"/>
    <col min="10961" max="10961" width="1.140625" style="17" customWidth="1"/>
    <col min="10962" max="10962" width="20.42578125" style="17" customWidth="1"/>
    <col min="10963" max="10971" width="7.5703125" style="17" customWidth="1"/>
    <col min="10972" max="11216" width="9.140625" style="17"/>
    <col min="11217" max="11217" width="1.140625" style="17" customWidth="1"/>
    <col min="11218" max="11218" width="20.42578125" style="17" customWidth="1"/>
    <col min="11219" max="11227" width="7.5703125" style="17" customWidth="1"/>
    <col min="11228" max="11472" width="9.140625" style="17"/>
    <col min="11473" max="11473" width="1.140625" style="17" customWidth="1"/>
    <col min="11474" max="11474" width="20.42578125" style="17" customWidth="1"/>
    <col min="11475" max="11483" width="7.5703125" style="17" customWidth="1"/>
    <col min="11484" max="11728" width="9.140625" style="17"/>
    <col min="11729" max="11729" width="1.140625" style="17" customWidth="1"/>
    <col min="11730" max="11730" width="20.42578125" style="17" customWidth="1"/>
    <col min="11731" max="11739" width="7.5703125" style="17" customWidth="1"/>
    <col min="11740" max="11984" width="9.140625" style="17"/>
    <col min="11985" max="11985" width="1.140625" style="17" customWidth="1"/>
    <col min="11986" max="11986" width="20.42578125" style="17" customWidth="1"/>
    <col min="11987" max="11995" width="7.5703125" style="17" customWidth="1"/>
    <col min="11996" max="12240" width="9.140625" style="17"/>
    <col min="12241" max="12241" width="1.140625" style="17" customWidth="1"/>
    <col min="12242" max="12242" width="20.42578125" style="17" customWidth="1"/>
    <col min="12243" max="12251" width="7.5703125" style="17" customWidth="1"/>
    <col min="12252" max="12496" width="9.140625" style="17"/>
    <col min="12497" max="12497" width="1.140625" style="17" customWidth="1"/>
    <col min="12498" max="12498" width="20.42578125" style="17" customWidth="1"/>
    <col min="12499" max="12507" width="7.5703125" style="17" customWidth="1"/>
    <col min="12508" max="12752" width="9.140625" style="17"/>
    <col min="12753" max="12753" width="1.140625" style="17" customWidth="1"/>
    <col min="12754" max="12754" width="20.42578125" style="17" customWidth="1"/>
    <col min="12755" max="12763" width="7.5703125" style="17" customWidth="1"/>
    <col min="12764" max="13008" width="9.140625" style="17"/>
    <col min="13009" max="13009" width="1.140625" style="17" customWidth="1"/>
    <col min="13010" max="13010" width="20.42578125" style="17" customWidth="1"/>
    <col min="13011" max="13019" width="7.5703125" style="17" customWidth="1"/>
    <col min="13020" max="13264" width="9.140625" style="17"/>
    <col min="13265" max="13265" width="1.140625" style="17" customWidth="1"/>
    <col min="13266" max="13266" width="20.42578125" style="17" customWidth="1"/>
    <col min="13267" max="13275" width="7.5703125" style="17" customWidth="1"/>
    <col min="13276" max="13520" width="9.140625" style="17"/>
    <col min="13521" max="13521" width="1.140625" style="17" customWidth="1"/>
    <col min="13522" max="13522" width="20.42578125" style="17" customWidth="1"/>
    <col min="13523" max="13531" width="7.5703125" style="17" customWidth="1"/>
    <col min="13532" max="13776" width="9.140625" style="17"/>
    <col min="13777" max="13777" width="1.140625" style="17" customWidth="1"/>
    <col min="13778" max="13778" width="20.42578125" style="17" customWidth="1"/>
    <col min="13779" max="13787" width="7.5703125" style="17" customWidth="1"/>
    <col min="13788" max="14032" width="9.140625" style="17"/>
    <col min="14033" max="14033" width="1.140625" style="17" customWidth="1"/>
    <col min="14034" max="14034" width="20.42578125" style="17" customWidth="1"/>
    <col min="14035" max="14043" width="7.5703125" style="17" customWidth="1"/>
    <col min="14044" max="14288" width="9.140625" style="17"/>
    <col min="14289" max="14289" width="1.140625" style="17" customWidth="1"/>
    <col min="14290" max="14290" width="20.42578125" style="17" customWidth="1"/>
    <col min="14291" max="14299" width="7.5703125" style="17" customWidth="1"/>
    <col min="14300" max="14544" width="9.140625" style="17"/>
    <col min="14545" max="14545" width="1.140625" style="17" customWidth="1"/>
    <col min="14546" max="14546" width="20.42578125" style="17" customWidth="1"/>
    <col min="14547" max="14555" width="7.5703125" style="17" customWidth="1"/>
    <col min="14556" max="14800" width="9.140625" style="17"/>
    <col min="14801" max="14801" width="1.140625" style="17" customWidth="1"/>
    <col min="14802" max="14802" width="20.42578125" style="17" customWidth="1"/>
    <col min="14803" max="14811" width="7.5703125" style="17" customWidth="1"/>
    <col min="14812" max="15056" width="9.140625" style="17"/>
    <col min="15057" max="15057" width="1.140625" style="17" customWidth="1"/>
    <col min="15058" max="15058" width="20.42578125" style="17" customWidth="1"/>
    <col min="15059" max="15067" width="7.5703125" style="17" customWidth="1"/>
    <col min="15068" max="15312" width="9.140625" style="17"/>
    <col min="15313" max="15313" width="1.140625" style="17" customWidth="1"/>
    <col min="15314" max="15314" width="20.42578125" style="17" customWidth="1"/>
    <col min="15315" max="15323" width="7.5703125" style="17" customWidth="1"/>
    <col min="15324" max="15568" width="9.140625" style="17"/>
    <col min="15569" max="15569" width="1.140625" style="17" customWidth="1"/>
    <col min="15570" max="15570" width="20.42578125" style="17" customWidth="1"/>
    <col min="15571" max="15579" width="7.5703125" style="17" customWidth="1"/>
    <col min="15580" max="15824" width="9.140625" style="17"/>
    <col min="15825" max="15825" width="1.140625" style="17" customWidth="1"/>
    <col min="15826" max="15826" width="20.42578125" style="17" customWidth="1"/>
    <col min="15827" max="15835" width="7.5703125" style="17" customWidth="1"/>
    <col min="15836" max="16080" width="9.140625" style="17"/>
    <col min="16081" max="16081" width="1.140625" style="17" customWidth="1"/>
    <col min="16082" max="16082" width="20.42578125" style="17" customWidth="1"/>
    <col min="16083" max="16091" width="7.5703125" style="17" customWidth="1"/>
    <col min="16092" max="16333" width="9.140625" style="17"/>
    <col min="16334" max="16336" width="9" style="17" customWidth="1"/>
    <col min="16337" max="16384" width="9.140625" style="17"/>
  </cols>
  <sheetData>
    <row r="1" spans="2:14" ht="4.5" customHeight="1" thickTop="1">
      <c r="B1" s="106"/>
      <c r="C1" s="106"/>
      <c r="D1" s="106"/>
      <c r="E1" s="106"/>
      <c r="F1" s="106"/>
      <c r="G1" s="106"/>
      <c r="H1" s="106"/>
      <c r="I1" s="106"/>
      <c r="J1" s="106"/>
      <c r="K1" s="18"/>
      <c r="L1" s="11"/>
      <c r="M1" s="11"/>
    </row>
    <row r="2" spans="2:14" ht="30">
      <c r="B2" s="110" t="s">
        <v>24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2:14" ht="17.25">
      <c r="B3" s="99" t="s">
        <v>8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2:14" ht="30" customHeight="1">
      <c r="B4" s="109" t="s">
        <v>2</v>
      </c>
      <c r="C4" s="109" t="s">
        <v>28</v>
      </c>
      <c r="D4" s="109"/>
      <c r="E4" s="109"/>
      <c r="F4" s="109" t="s">
        <v>29</v>
      </c>
      <c r="G4" s="109"/>
      <c r="H4" s="109"/>
      <c r="I4" s="109" t="s">
        <v>27</v>
      </c>
      <c r="J4" s="109"/>
      <c r="K4" s="109"/>
      <c r="L4" s="109" t="s">
        <v>30</v>
      </c>
      <c r="M4" s="109"/>
      <c r="N4" s="109"/>
    </row>
    <row r="5" spans="2:14" ht="30" customHeight="1">
      <c r="B5" s="109"/>
      <c r="C5" s="87" t="s">
        <v>0</v>
      </c>
      <c r="D5" s="87" t="s">
        <v>22</v>
      </c>
      <c r="E5" s="87" t="s">
        <v>23</v>
      </c>
      <c r="F5" s="87" t="s">
        <v>0</v>
      </c>
      <c r="G5" s="87" t="s">
        <v>22</v>
      </c>
      <c r="H5" s="87" t="s">
        <v>23</v>
      </c>
      <c r="I5" s="87" t="s">
        <v>0</v>
      </c>
      <c r="J5" s="87" t="s">
        <v>22</v>
      </c>
      <c r="K5" s="87" t="s">
        <v>23</v>
      </c>
      <c r="L5" s="87" t="s">
        <v>0</v>
      </c>
      <c r="M5" s="87" t="s">
        <v>22</v>
      </c>
      <c r="N5" s="87" t="s">
        <v>23</v>
      </c>
    </row>
    <row r="6" spans="2:14" ht="30" customHeight="1" thickBot="1">
      <c r="B6" s="5" t="s">
        <v>6</v>
      </c>
      <c r="C6" s="39">
        <v>500</v>
      </c>
      <c r="D6" s="40">
        <v>15500</v>
      </c>
      <c r="E6" s="41">
        <f t="shared" ref="E6:E11" si="0">D6/C6</f>
        <v>31</v>
      </c>
      <c r="F6" s="39">
        <v>0</v>
      </c>
      <c r="G6" s="40">
        <v>0</v>
      </c>
      <c r="H6" s="41">
        <v>0</v>
      </c>
      <c r="I6" s="39">
        <v>490</v>
      </c>
      <c r="J6" s="40">
        <v>17640</v>
      </c>
      <c r="K6" s="41">
        <f>J6/I6</f>
        <v>36</v>
      </c>
      <c r="L6" s="76">
        <f>I6+F6+C6</f>
        <v>990</v>
      </c>
      <c r="M6" s="76">
        <f>J6+G6+D6</f>
        <v>33140</v>
      </c>
      <c r="N6" s="77">
        <f>M6/L6</f>
        <v>33.474747474747474</v>
      </c>
    </row>
    <row r="7" spans="2:14" ht="30" customHeight="1" thickTop="1" thickBot="1">
      <c r="B7" s="6" t="s">
        <v>15</v>
      </c>
      <c r="C7" s="38">
        <v>0</v>
      </c>
      <c r="D7" s="44">
        <v>0</v>
      </c>
      <c r="E7" s="36">
        <v>0</v>
      </c>
      <c r="F7" s="38">
        <v>0</v>
      </c>
      <c r="G7" s="44">
        <v>0</v>
      </c>
      <c r="H7" s="36">
        <v>0</v>
      </c>
      <c r="I7" s="38">
        <v>1700</v>
      </c>
      <c r="J7" s="44">
        <v>71400</v>
      </c>
      <c r="K7" s="36">
        <f t="shared" ref="K7:K14" si="1">J7/I7</f>
        <v>42</v>
      </c>
      <c r="L7" s="27">
        <f t="shared" ref="L7:L13" si="2">I7+F7+C7</f>
        <v>1700</v>
      </c>
      <c r="M7" s="27">
        <f t="shared" ref="M7:M13" si="3">J7+G7+D7</f>
        <v>71400</v>
      </c>
      <c r="N7" s="37">
        <f t="shared" ref="N7:N13" si="4">M7/L7</f>
        <v>42</v>
      </c>
    </row>
    <row r="8" spans="2:14" ht="30" customHeight="1" thickTop="1" thickBot="1">
      <c r="B8" s="6" t="s">
        <v>14</v>
      </c>
      <c r="C8" s="38">
        <v>0</v>
      </c>
      <c r="D8" s="44">
        <v>0</v>
      </c>
      <c r="E8" s="36">
        <v>0</v>
      </c>
      <c r="F8" s="38">
        <v>0</v>
      </c>
      <c r="G8" s="44">
        <v>0</v>
      </c>
      <c r="H8" s="36">
        <v>0</v>
      </c>
      <c r="I8" s="38">
        <v>1150</v>
      </c>
      <c r="J8" s="44">
        <v>46000</v>
      </c>
      <c r="K8" s="36">
        <f t="shared" si="1"/>
        <v>40</v>
      </c>
      <c r="L8" s="27">
        <f t="shared" si="2"/>
        <v>1150</v>
      </c>
      <c r="M8" s="27">
        <f t="shared" si="3"/>
        <v>46000</v>
      </c>
      <c r="N8" s="37">
        <f t="shared" si="4"/>
        <v>40</v>
      </c>
    </row>
    <row r="9" spans="2:14" ht="30" customHeight="1" thickTop="1" thickBot="1">
      <c r="B9" s="6" t="s">
        <v>9</v>
      </c>
      <c r="C9" s="38">
        <v>1600</v>
      </c>
      <c r="D9" s="44">
        <v>48000</v>
      </c>
      <c r="E9" s="36">
        <f t="shared" si="0"/>
        <v>30</v>
      </c>
      <c r="F9" s="38">
        <v>0</v>
      </c>
      <c r="G9" s="44">
        <v>0</v>
      </c>
      <c r="H9" s="36">
        <v>0</v>
      </c>
      <c r="I9" s="38">
        <v>2100</v>
      </c>
      <c r="J9" s="44">
        <v>60900</v>
      </c>
      <c r="K9" s="36">
        <f t="shared" si="1"/>
        <v>29</v>
      </c>
      <c r="L9" s="27">
        <f t="shared" si="2"/>
        <v>3700</v>
      </c>
      <c r="M9" s="27">
        <f t="shared" si="3"/>
        <v>108900</v>
      </c>
      <c r="N9" s="37">
        <f t="shared" si="4"/>
        <v>29.432432432432432</v>
      </c>
    </row>
    <row r="10" spans="2:14" ht="30" customHeight="1" thickTop="1" thickBot="1">
      <c r="B10" s="6" t="s">
        <v>7</v>
      </c>
      <c r="C10" s="38"/>
      <c r="D10" s="44"/>
      <c r="E10" s="36">
        <v>0</v>
      </c>
      <c r="F10" s="38">
        <v>1900</v>
      </c>
      <c r="G10" s="44">
        <v>53000</v>
      </c>
      <c r="H10" s="36">
        <f>G10/F10</f>
        <v>27.894736842105264</v>
      </c>
      <c r="I10" s="38">
        <v>1500</v>
      </c>
      <c r="J10" s="44">
        <v>42000</v>
      </c>
      <c r="K10" s="36">
        <f t="shared" si="1"/>
        <v>28</v>
      </c>
      <c r="L10" s="27">
        <f t="shared" si="2"/>
        <v>3400</v>
      </c>
      <c r="M10" s="27">
        <f t="shared" si="3"/>
        <v>95000</v>
      </c>
      <c r="N10" s="37">
        <f t="shared" si="4"/>
        <v>27.941176470588236</v>
      </c>
    </row>
    <row r="11" spans="2:14" ht="30" customHeight="1" thickTop="1" thickBot="1">
      <c r="B11" s="6" t="s">
        <v>3</v>
      </c>
      <c r="C11" s="38">
        <v>350</v>
      </c>
      <c r="D11" s="44">
        <v>11900</v>
      </c>
      <c r="E11" s="36">
        <f t="shared" si="0"/>
        <v>34</v>
      </c>
      <c r="F11" s="38">
        <v>0</v>
      </c>
      <c r="G11" s="44">
        <v>0</v>
      </c>
      <c r="H11" s="36">
        <v>0</v>
      </c>
      <c r="I11" s="38">
        <v>4000</v>
      </c>
      <c r="J11" s="44">
        <v>140000</v>
      </c>
      <c r="K11" s="36">
        <f t="shared" si="1"/>
        <v>35</v>
      </c>
      <c r="L11" s="27">
        <f t="shared" si="2"/>
        <v>4350</v>
      </c>
      <c r="M11" s="27">
        <f t="shared" si="3"/>
        <v>151900</v>
      </c>
      <c r="N11" s="37">
        <f t="shared" si="4"/>
        <v>34.919540229885058</v>
      </c>
    </row>
    <row r="12" spans="2:14" ht="30" customHeight="1" thickTop="1" thickBot="1">
      <c r="B12" s="6" t="s">
        <v>16</v>
      </c>
      <c r="C12" s="38">
        <v>0</v>
      </c>
      <c r="D12" s="44">
        <v>0</v>
      </c>
      <c r="E12" s="36">
        <v>0</v>
      </c>
      <c r="F12" s="38">
        <v>0</v>
      </c>
      <c r="G12" s="44">
        <v>0</v>
      </c>
      <c r="H12" s="36">
        <v>0</v>
      </c>
      <c r="I12" s="38">
        <v>750</v>
      </c>
      <c r="J12" s="44">
        <v>22500</v>
      </c>
      <c r="K12" s="36">
        <f t="shared" si="1"/>
        <v>30</v>
      </c>
      <c r="L12" s="27">
        <f t="shared" si="2"/>
        <v>750</v>
      </c>
      <c r="M12" s="27">
        <f t="shared" si="3"/>
        <v>22500</v>
      </c>
      <c r="N12" s="37">
        <f t="shared" si="4"/>
        <v>30</v>
      </c>
    </row>
    <row r="13" spans="2:14" ht="30" customHeight="1" thickTop="1">
      <c r="B13" s="84" t="s">
        <v>21</v>
      </c>
      <c r="C13" s="72">
        <v>0</v>
      </c>
      <c r="D13" s="85">
        <v>0</v>
      </c>
      <c r="E13" s="74">
        <v>0</v>
      </c>
      <c r="F13" s="72">
        <v>0</v>
      </c>
      <c r="G13" s="85">
        <v>0</v>
      </c>
      <c r="H13" s="74">
        <v>0</v>
      </c>
      <c r="I13" s="72">
        <v>10</v>
      </c>
      <c r="J13" s="85">
        <v>500</v>
      </c>
      <c r="K13" s="74">
        <f t="shared" si="1"/>
        <v>50</v>
      </c>
      <c r="L13" s="65">
        <f t="shared" si="2"/>
        <v>10</v>
      </c>
      <c r="M13" s="65">
        <f t="shared" si="3"/>
        <v>500</v>
      </c>
      <c r="N13" s="42">
        <f t="shared" si="4"/>
        <v>50</v>
      </c>
    </row>
    <row r="14" spans="2:14" ht="30" customHeight="1">
      <c r="B14" s="86" t="s">
        <v>13</v>
      </c>
      <c r="C14" s="63">
        <f>SUM(C6:C13)</f>
        <v>2450</v>
      </c>
      <c r="D14" s="63">
        <f>SUM(D6:D13)</f>
        <v>75400</v>
      </c>
      <c r="E14" s="75">
        <f>D14/C14</f>
        <v>30.775510204081634</v>
      </c>
      <c r="F14" s="63">
        <f>SUM(F6:F13)</f>
        <v>1900</v>
      </c>
      <c r="G14" s="63">
        <f>SUM(G6:G13)</f>
        <v>53000</v>
      </c>
      <c r="H14" s="75">
        <f>G14/F14</f>
        <v>27.894736842105264</v>
      </c>
      <c r="I14" s="63">
        <f>SUM(I6:I13)</f>
        <v>11700</v>
      </c>
      <c r="J14" s="63">
        <f>SUM(J6:J13)</f>
        <v>400940</v>
      </c>
      <c r="K14" s="75">
        <f t="shared" si="1"/>
        <v>34.268376068376071</v>
      </c>
      <c r="L14" s="63">
        <f>SUM(L6:L13)</f>
        <v>16050</v>
      </c>
      <c r="M14" s="63">
        <f>SUM(M6:M13)</f>
        <v>529340</v>
      </c>
      <c r="N14" s="43">
        <f>M14/L14</f>
        <v>32.98068535825545</v>
      </c>
    </row>
    <row r="15" spans="2:14" ht="3.75" customHeight="1">
      <c r="B15" s="108"/>
      <c r="C15" s="108"/>
      <c r="D15" s="108"/>
      <c r="E15" s="108"/>
      <c r="F15" s="108"/>
      <c r="G15" s="108"/>
      <c r="H15" s="108"/>
      <c r="I15" s="108"/>
      <c r="J15" s="108"/>
      <c r="K15" s="18"/>
      <c r="L15" s="11"/>
      <c r="M15" s="11"/>
    </row>
  </sheetData>
  <mergeCells count="9">
    <mergeCell ref="B15:J15"/>
    <mergeCell ref="B4:B5"/>
    <mergeCell ref="C4:E4"/>
    <mergeCell ref="B1:J1"/>
    <mergeCell ref="L4:N4"/>
    <mergeCell ref="F4:H4"/>
    <mergeCell ref="I4:K4"/>
    <mergeCell ref="B3:N3"/>
    <mergeCell ref="B2:N2"/>
  </mergeCells>
  <pageMargins left="0.70866141732283472" right="0.70866141732283472" top="0.74803149606299213" bottom="0.74803149606299213" header="0.31496062992125984" footer="0.31496062992125984"/>
  <pageSetup scale="85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5"/>
  <sheetViews>
    <sheetView rightToLeft="1" zoomScaleNormal="100" workbookViewId="0">
      <selection activeCell="A4" sqref="A4:XFD14"/>
    </sheetView>
  </sheetViews>
  <sheetFormatPr defaultRowHeight="15"/>
  <cols>
    <col min="1" max="1" width="1.85546875" style="17" customWidth="1"/>
    <col min="2" max="2" width="14.85546875" style="17" customWidth="1"/>
    <col min="3" max="3" width="7.85546875" style="17" bestFit="1" customWidth="1"/>
    <col min="4" max="4" width="13.140625" style="17" customWidth="1"/>
    <col min="5" max="5" width="14.140625" style="17" bestFit="1" customWidth="1"/>
    <col min="6" max="6" width="7.85546875" style="17" bestFit="1" customWidth="1"/>
    <col min="7" max="7" width="9.42578125" style="17" bestFit="1" customWidth="1"/>
    <col min="8" max="8" width="14.140625" style="17" bestFit="1" customWidth="1"/>
    <col min="9" max="9" width="7.85546875" style="17" bestFit="1" customWidth="1"/>
    <col min="10" max="10" width="12.28515625" style="17" customWidth="1"/>
    <col min="11" max="12" width="7.85546875" style="17" bestFit="1" customWidth="1"/>
    <col min="13" max="13" width="13.42578125" style="17" customWidth="1"/>
    <col min="14" max="14" width="10" style="17" bestFit="1" customWidth="1"/>
    <col min="15" max="208" width="9.140625" style="17"/>
    <col min="209" max="209" width="1.140625" style="17" customWidth="1"/>
    <col min="210" max="210" width="20.42578125" style="17" customWidth="1"/>
    <col min="211" max="219" width="7.5703125" style="17" customWidth="1"/>
    <col min="220" max="464" width="9.140625" style="17"/>
    <col min="465" max="465" width="1.140625" style="17" customWidth="1"/>
    <col min="466" max="466" width="20.42578125" style="17" customWidth="1"/>
    <col min="467" max="475" width="7.5703125" style="17" customWidth="1"/>
    <col min="476" max="720" width="9.140625" style="17"/>
    <col min="721" max="721" width="1.140625" style="17" customWidth="1"/>
    <col min="722" max="722" width="20.42578125" style="17" customWidth="1"/>
    <col min="723" max="731" width="7.5703125" style="17" customWidth="1"/>
    <col min="732" max="976" width="9.140625" style="17"/>
    <col min="977" max="977" width="1.140625" style="17" customWidth="1"/>
    <col min="978" max="978" width="20.42578125" style="17" customWidth="1"/>
    <col min="979" max="987" width="7.5703125" style="17" customWidth="1"/>
    <col min="988" max="1232" width="9.140625" style="17"/>
    <col min="1233" max="1233" width="1.140625" style="17" customWidth="1"/>
    <col min="1234" max="1234" width="20.42578125" style="17" customWidth="1"/>
    <col min="1235" max="1243" width="7.5703125" style="17" customWidth="1"/>
    <col min="1244" max="1488" width="9.140625" style="17"/>
    <col min="1489" max="1489" width="1.140625" style="17" customWidth="1"/>
    <col min="1490" max="1490" width="20.42578125" style="17" customWidth="1"/>
    <col min="1491" max="1499" width="7.5703125" style="17" customWidth="1"/>
    <col min="1500" max="1744" width="9.140625" style="17"/>
    <col min="1745" max="1745" width="1.140625" style="17" customWidth="1"/>
    <col min="1746" max="1746" width="20.42578125" style="17" customWidth="1"/>
    <col min="1747" max="1755" width="7.5703125" style="17" customWidth="1"/>
    <col min="1756" max="2000" width="9.140625" style="17"/>
    <col min="2001" max="2001" width="1.140625" style="17" customWidth="1"/>
    <col min="2002" max="2002" width="20.42578125" style="17" customWidth="1"/>
    <col min="2003" max="2011" width="7.5703125" style="17" customWidth="1"/>
    <col min="2012" max="2256" width="9.140625" style="17"/>
    <col min="2257" max="2257" width="1.140625" style="17" customWidth="1"/>
    <col min="2258" max="2258" width="20.42578125" style="17" customWidth="1"/>
    <col min="2259" max="2267" width="7.5703125" style="17" customWidth="1"/>
    <col min="2268" max="2512" width="9.140625" style="17"/>
    <col min="2513" max="2513" width="1.140625" style="17" customWidth="1"/>
    <col min="2514" max="2514" width="20.42578125" style="17" customWidth="1"/>
    <col min="2515" max="2523" width="7.5703125" style="17" customWidth="1"/>
    <col min="2524" max="2768" width="9.140625" style="17"/>
    <col min="2769" max="2769" width="1.140625" style="17" customWidth="1"/>
    <col min="2770" max="2770" width="20.42578125" style="17" customWidth="1"/>
    <col min="2771" max="2779" width="7.5703125" style="17" customWidth="1"/>
    <col min="2780" max="3024" width="9.140625" style="17"/>
    <col min="3025" max="3025" width="1.140625" style="17" customWidth="1"/>
    <col min="3026" max="3026" width="20.42578125" style="17" customWidth="1"/>
    <col min="3027" max="3035" width="7.5703125" style="17" customWidth="1"/>
    <col min="3036" max="3280" width="9.140625" style="17"/>
    <col min="3281" max="3281" width="1.140625" style="17" customWidth="1"/>
    <col min="3282" max="3282" width="20.42578125" style="17" customWidth="1"/>
    <col min="3283" max="3291" width="7.5703125" style="17" customWidth="1"/>
    <col min="3292" max="3536" width="9.140625" style="17"/>
    <col min="3537" max="3537" width="1.140625" style="17" customWidth="1"/>
    <col min="3538" max="3538" width="20.42578125" style="17" customWidth="1"/>
    <col min="3539" max="3547" width="7.5703125" style="17" customWidth="1"/>
    <col min="3548" max="3792" width="9.140625" style="17"/>
    <col min="3793" max="3793" width="1.140625" style="17" customWidth="1"/>
    <col min="3794" max="3794" width="20.42578125" style="17" customWidth="1"/>
    <col min="3795" max="3803" width="7.5703125" style="17" customWidth="1"/>
    <col min="3804" max="4048" width="9.140625" style="17"/>
    <col min="4049" max="4049" width="1.140625" style="17" customWidth="1"/>
    <col min="4050" max="4050" width="20.42578125" style="17" customWidth="1"/>
    <col min="4051" max="4059" width="7.5703125" style="17" customWidth="1"/>
    <col min="4060" max="4304" width="9.140625" style="17"/>
    <col min="4305" max="4305" width="1.140625" style="17" customWidth="1"/>
    <col min="4306" max="4306" width="20.42578125" style="17" customWidth="1"/>
    <col min="4307" max="4315" width="7.5703125" style="17" customWidth="1"/>
    <col min="4316" max="4560" width="9.140625" style="17"/>
    <col min="4561" max="4561" width="1.140625" style="17" customWidth="1"/>
    <col min="4562" max="4562" width="20.42578125" style="17" customWidth="1"/>
    <col min="4563" max="4571" width="7.5703125" style="17" customWidth="1"/>
    <col min="4572" max="4816" width="9.140625" style="17"/>
    <col min="4817" max="4817" width="1.140625" style="17" customWidth="1"/>
    <col min="4818" max="4818" width="20.42578125" style="17" customWidth="1"/>
    <col min="4819" max="4827" width="7.5703125" style="17" customWidth="1"/>
    <col min="4828" max="5072" width="9.140625" style="17"/>
    <col min="5073" max="5073" width="1.140625" style="17" customWidth="1"/>
    <col min="5074" max="5074" width="20.42578125" style="17" customWidth="1"/>
    <col min="5075" max="5083" width="7.5703125" style="17" customWidth="1"/>
    <col min="5084" max="5328" width="9.140625" style="17"/>
    <col min="5329" max="5329" width="1.140625" style="17" customWidth="1"/>
    <col min="5330" max="5330" width="20.42578125" style="17" customWidth="1"/>
    <col min="5331" max="5339" width="7.5703125" style="17" customWidth="1"/>
    <col min="5340" max="5584" width="9.140625" style="17"/>
    <col min="5585" max="5585" width="1.140625" style="17" customWidth="1"/>
    <col min="5586" max="5586" width="20.42578125" style="17" customWidth="1"/>
    <col min="5587" max="5595" width="7.5703125" style="17" customWidth="1"/>
    <col min="5596" max="5840" width="9.140625" style="17"/>
    <col min="5841" max="5841" width="1.140625" style="17" customWidth="1"/>
    <col min="5842" max="5842" width="20.42578125" style="17" customWidth="1"/>
    <col min="5843" max="5851" width="7.5703125" style="17" customWidth="1"/>
    <col min="5852" max="6096" width="9.140625" style="17"/>
    <col min="6097" max="6097" width="1.140625" style="17" customWidth="1"/>
    <col min="6098" max="6098" width="20.42578125" style="17" customWidth="1"/>
    <col min="6099" max="6107" width="7.5703125" style="17" customWidth="1"/>
    <col min="6108" max="6352" width="9.140625" style="17"/>
    <col min="6353" max="6353" width="1.140625" style="17" customWidth="1"/>
    <col min="6354" max="6354" width="20.42578125" style="17" customWidth="1"/>
    <col min="6355" max="6363" width="7.5703125" style="17" customWidth="1"/>
    <col min="6364" max="6608" width="9.140625" style="17"/>
    <col min="6609" max="6609" width="1.140625" style="17" customWidth="1"/>
    <col min="6610" max="6610" width="20.42578125" style="17" customWidth="1"/>
    <col min="6611" max="6619" width="7.5703125" style="17" customWidth="1"/>
    <col min="6620" max="6864" width="9.140625" style="17"/>
    <col min="6865" max="6865" width="1.140625" style="17" customWidth="1"/>
    <col min="6866" max="6866" width="20.42578125" style="17" customWidth="1"/>
    <col min="6867" max="6875" width="7.5703125" style="17" customWidth="1"/>
    <col min="6876" max="7120" width="9.140625" style="17"/>
    <col min="7121" max="7121" width="1.140625" style="17" customWidth="1"/>
    <col min="7122" max="7122" width="20.42578125" style="17" customWidth="1"/>
    <col min="7123" max="7131" width="7.5703125" style="17" customWidth="1"/>
    <col min="7132" max="7376" width="9.140625" style="17"/>
    <col min="7377" max="7377" width="1.140625" style="17" customWidth="1"/>
    <col min="7378" max="7378" width="20.42578125" style="17" customWidth="1"/>
    <col min="7379" max="7387" width="7.5703125" style="17" customWidth="1"/>
    <col min="7388" max="7632" width="9.140625" style="17"/>
    <col min="7633" max="7633" width="1.140625" style="17" customWidth="1"/>
    <col min="7634" max="7634" width="20.42578125" style="17" customWidth="1"/>
    <col min="7635" max="7643" width="7.5703125" style="17" customWidth="1"/>
    <col min="7644" max="7888" width="9.140625" style="17"/>
    <col min="7889" max="7889" width="1.140625" style="17" customWidth="1"/>
    <col min="7890" max="7890" width="20.42578125" style="17" customWidth="1"/>
    <col min="7891" max="7899" width="7.5703125" style="17" customWidth="1"/>
    <col min="7900" max="8144" width="9.140625" style="17"/>
    <col min="8145" max="8145" width="1.140625" style="17" customWidth="1"/>
    <col min="8146" max="8146" width="20.42578125" style="17" customWidth="1"/>
    <col min="8147" max="8155" width="7.5703125" style="17" customWidth="1"/>
    <col min="8156" max="8400" width="9.140625" style="17"/>
    <col min="8401" max="8401" width="1.140625" style="17" customWidth="1"/>
    <col min="8402" max="8402" width="20.42578125" style="17" customWidth="1"/>
    <col min="8403" max="8411" width="7.5703125" style="17" customWidth="1"/>
    <col min="8412" max="8656" width="9.140625" style="17"/>
    <col min="8657" max="8657" width="1.140625" style="17" customWidth="1"/>
    <col min="8658" max="8658" width="20.42578125" style="17" customWidth="1"/>
    <col min="8659" max="8667" width="7.5703125" style="17" customWidth="1"/>
    <col min="8668" max="8912" width="9.140625" style="17"/>
    <col min="8913" max="8913" width="1.140625" style="17" customWidth="1"/>
    <col min="8914" max="8914" width="20.42578125" style="17" customWidth="1"/>
    <col min="8915" max="8923" width="7.5703125" style="17" customWidth="1"/>
    <col min="8924" max="9168" width="9.140625" style="17"/>
    <col min="9169" max="9169" width="1.140625" style="17" customWidth="1"/>
    <col min="9170" max="9170" width="20.42578125" style="17" customWidth="1"/>
    <col min="9171" max="9179" width="7.5703125" style="17" customWidth="1"/>
    <col min="9180" max="9424" width="9.140625" style="17"/>
    <col min="9425" max="9425" width="1.140625" style="17" customWidth="1"/>
    <col min="9426" max="9426" width="20.42578125" style="17" customWidth="1"/>
    <col min="9427" max="9435" width="7.5703125" style="17" customWidth="1"/>
    <col min="9436" max="9680" width="9.140625" style="17"/>
    <col min="9681" max="9681" width="1.140625" style="17" customWidth="1"/>
    <col min="9682" max="9682" width="20.42578125" style="17" customWidth="1"/>
    <col min="9683" max="9691" width="7.5703125" style="17" customWidth="1"/>
    <col min="9692" max="9936" width="9.140625" style="17"/>
    <col min="9937" max="9937" width="1.140625" style="17" customWidth="1"/>
    <col min="9938" max="9938" width="20.42578125" style="17" customWidth="1"/>
    <col min="9939" max="9947" width="7.5703125" style="17" customWidth="1"/>
    <col min="9948" max="10192" width="9.140625" style="17"/>
    <col min="10193" max="10193" width="1.140625" style="17" customWidth="1"/>
    <col min="10194" max="10194" width="20.42578125" style="17" customWidth="1"/>
    <col min="10195" max="10203" width="7.5703125" style="17" customWidth="1"/>
    <col min="10204" max="10448" width="9.140625" style="17"/>
    <col min="10449" max="10449" width="1.140625" style="17" customWidth="1"/>
    <col min="10450" max="10450" width="20.42578125" style="17" customWidth="1"/>
    <col min="10451" max="10459" width="7.5703125" style="17" customWidth="1"/>
    <col min="10460" max="10704" width="9.140625" style="17"/>
    <col min="10705" max="10705" width="1.140625" style="17" customWidth="1"/>
    <col min="10706" max="10706" width="20.42578125" style="17" customWidth="1"/>
    <col min="10707" max="10715" width="7.5703125" style="17" customWidth="1"/>
    <col min="10716" max="10960" width="9.140625" style="17"/>
    <col min="10961" max="10961" width="1.140625" style="17" customWidth="1"/>
    <col min="10962" max="10962" width="20.42578125" style="17" customWidth="1"/>
    <col min="10963" max="10971" width="7.5703125" style="17" customWidth="1"/>
    <col min="10972" max="11216" width="9.140625" style="17"/>
    <col min="11217" max="11217" width="1.140625" style="17" customWidth="1"/>
    <col min="11218" max="11218" width="20.42578125" style="17" customWidth="1"/>
    <col min="11219" max="11227" width="7.5703125" style="17" customWidth="1"/>
    <col min="11228" max="11472" width="9.140625" style="17"/>
    <col min="11473" max="11473" width="1.140625" style="17" customWidth="1"/>
    <col min="11474" max="11474" width="20.42578125" style="17" customWidth="1"/>
    <col min="11475" max="11483" width="7.5703125" style="17" customWidth="1"/>
    <col min="11484" max="11728" width="9.140625" style="17"/>
    <col min="11729" max="11729" width="1.140625" style="17" customWidth="1"/>
    <col min="11730" max="11730" width="20.42578125" style="17" customWidth="1"/>
    <col min="11731" max="11739" width="7.5703125" style="17" customWidth="1"/>
    <col min="11740" max="11984" width="9.140625" style="17"/>
    <col min="11985" max="11985" width="1.140625" style="17" customWidth="1"/>
    <col min="11986" max="11986" width="20.42578125" style="17" customWidth="1"/>
    <col min="11987" max="11995" width="7.5703125" style="17" customWidth="1"/>
    <col min="11996" max="12240" width="9.140625" style="17"/>
    <col min="12241" max="12241" width="1.140625" style="17" customWidth="1"/>
    <col min="12242" max="12242" width="20.42578125" style="17" customWidth="1"/>
    <col min="12243" max="12251" width="7.5703125" style="17" customWidth="1"/>
    <col min="12252" max="12496" width="9.140625" style="17"/>
    <col min="12497" max="12497" width="1.140625" style="17" customWidth="1"/>
    <col min="12498" max="12498" width="20.42578125" style="17" customWidth="1"/>
    <col min="12499" max="12507" width="7.5703125" style="17" customWidth="1"/>
    <col min="12508" max="12752" width="9.140625" style="17"/>
    <col min="12753" max="12753" width="1.140625" style="17" customWidth="1"/>
    <col min="12754" max="12754" width="20.42578125" style="17" customWidth="1"/>
    <col min="12755" max="12763" width="7.5703125" style="17" customWidth="1"/>
    <col min="12764" max="13008" width="9.140625" style="17"/>
    <col min="13009" max="13009" width="1.140625" style="17" customWidth="1"/>
    <col min="13010" max="13010" width="20.42578125" style="17" customWidth="1"/>
    <col min="13011" max="13019" width="7.5703125" style="17" customWidth="1"/>
    <col min="13020" max="13264" width="9.140625" style="17"/>
    <col min="13265" max="13265" width="1.140625" style="17" customWidth="1"/>
    <col min="13266" max="13266" width="20.42578125" style="17" customWidth="1"/>
    <col min="13267" max="13275" width="7.5703125" style="17" customWidth="1"/>
    <col min="13276" max="13520" width="9.140625" style="17"/>
    <col min="13521" max="13521" width="1.140625" style="17" customWidth="1"/>
    <col min="13522" max="13522" width="20.42578125" style="17" customWidth="1"/>
    <col min="13523" max="13531" width="7.5703125" style="17" customWidth="1"/>
    <col min="13532" max="13776" width="9.140625" style="17"/>
    <col min="13777" max="13777" width="1.140625" style="17" customWidth="1"/>
    <col min="13778" max="13778" width="20.42578125" style="17" customWidth="1"/>
    <col min="13779" max="13787" width="7.5703125" style="17" customWidth="1"/>
    <col min="13788" max="14032" width="9.140625" style="17"/>
    <col min="14033" max="14033" width="1.140625" style="17" customWidth="1"/>
    <col min="14034" max="14034" width="20.42578125" style="17" customWidth="1"/>
    <col min="14035" max="14043" width="7.5703125" style="17" customWidth="1"/>
    <col min="14044" max="14288" width="9.140625" style="17"/>
    <col min="14289" max="14289" width="1.140625" style="17" customWidth="1"/>
    <col min="14290" max="14290" width="20.42578125" style="17" customWidth="1"/>
    <col min="14291" max="14299" width="7.5703125" style="17" customWidth="1"/>
    <col min="14300" max="14544" width="9.140625" style="17"/>
    <col min="14545" max="14545" width="1.140625" style="17" customWidth="1"/>
    <col min="14546" max="14546" width="20.42578125" style="17" customWidth="1"/>
    <col min="14547" max="14555" width="7.5703125" style="17" customWidth="1"/>
    <col min="14556" max="14800" width="9.140625" style="17"/>
    <col min="14801" max="14801" width="1.140625" style="17" customWidth="1"/>
    <col min="14802" max="14802" width="20.42578125" style="17" customWidth="1"/>
    <col min="14803" max="14811" width="7.5703125" style="17" customWidth="1"/>
    <col min="14812" max="15056" width="9.140625" style="17"/>
    <col min="15057" max="15057" width="1.140625" style="17" customWidth="1"/>
    <col min="15058" max="15058" width="20.42578125" style="17" customWidth="1"/>
    <col min="15059" max="15067" width="7.5703125" style="17" customWidth="1"/>
    <col min="15068" max="15312" width="9.140625" style="17"/>
    <col min="15313" max="15313" width="1.140625" style="17" customWidth="1"/>
    <col min="15314" max="15314" width="20.42578125" style="17" customWidth="1"/>
    <col min="15315" max="15323" width="7.5703125" style="17" customWidth="1"/>
    <col min="15324" max="15568" width="9.140625" style="17"/>
    <col min="15569" max="15569" width="1.140625" style="17" customWidth="1"/>
    <col min="15570" max="15570" width="20.42578125" style="17" customWidth="1"/>
    <col min="15571" max="15579" width="7.5703125" style="17" customWidth="1"/>
    <col min="15580" max="15824" width="9.140625" style="17"/>
    <col min="15825" max="15825" width="1.140625" style="17" customWidth="1"/>
    <col min="15826" max="15826" width="20.42578125" style="17" customWidth="1"/>
    <col min="15827" max="15835" width="7.5703125" style="17" customWidth="1"/>
    <col min="15836" max="16080" width="9.140625" style="17"/>
    <col min="16081" max="16081" width="1.140625" style="17" customWidth="1"/>
    <col min="16082" max="16082" width="20.42578125" style="17" customWidth="1"/>
    <col min="16083" max="16091" width="7.5703125" style="17" customWidth="1"/>
    <col min="16092" max="16333" width="9.140625" style="17"/>
    <col min="16334" max="16336" width="9" style="17" customWidth="1"/>
    <col min="16337" max="16384" width="9.140625" style="17"/>
  </cols>
  <sheetData>
    <row r="1" spans="2:15" ht="14.25" customHeight="1">
      <c r="B1" s="12"/>
      <c r="C1" s="13"/>
      <c r="D1" s="13"/>
      <c r="E1" s="14"/>
      <c r="F1" s="13"/>
      <c r="G1" s="13"/>
      <c r="H1" s="14"/>
      <c r="I1" s="13"/>
      <c r="J1" s="13"/>
      <c r="K1" s="14"/>
      <c r="L1" s="13"/>
      <c r="M1" s="13"/>
    </row>
    <row r="2" spans="2:15" ht="26.25">
      <c r="B2" s="107" t="s">
        <v>25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2:15" ht="17.25">
      <c r="B3" s="99" t="s">
        <v>8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2:15" ht="30" customHeight="1">
      <c r="B4" s="109" t="s">
        <v>2</v>
      </c>
      <c r="C4" s="109" t="s">
        <v>28</v>
      </c>
      <c r="D4" s="109"/>
      <c r="E4" s="109"/>
      <c r="F4" s="109" t="s">
        <v>29</v>
      </c>
      <c r="G4" s="109"/>
      <c r="H4" s="109"/>
      <c r="I4" s="109" t="s">
        <v>27</v>
      </c>
      <c r="J4" s="109"/>
      <c r="K4" s="109"/>
      <c r="L4" s="109" t="s">
        <v>30</v>
      </c>
      <c r="M4" s="109"/>
      <c r="N4" s="109"/>
    </row>
    <row r="5" spans="2:15" ht="30" customHeight="1">
      <c r="B5" s="109"/>
      <c r="C5" s="87" t="s">
        <v>0</v>
      </c>
      <c r="D5" s="87" t="s">
        <v>22</v>
      </c>
      <c r="E5" s="87" t="s">
        <v>23</v>
      </c>
      <c r="F5" s="87" t="s">
        <v>0</v>
      </c>
      <c r="G5" s="87" t="s">
        <v>22</v>
      </c>
      <c r="H5" s="87" t="s">
        <v>23</v>
      </c>
      <c r="I5" s="87" t="s">
        <v>0</v>
      </c>
      <c r="J5" s="87" t="s">
        <v>22</v>
      </c>
      <c r="K5" s="87" t="s">
        <v>23</v>
      </c>
      <c r="L5" s="87" t="s">
        <v>0</v>
      </c>
      <c r="M5" s="87" t="s">
        <v>22</v>
      </c>
      <c r="N5" s="87" t="s">
        <v>23</v>
      </c>
    </row>
    <row r="6" spans="2:15" ht="30" customHeight="1" thickBot="1">
      <c r="B6" s="5" t="s">
        <v>6</v>
      </c>
      <c r="C6" s="39">
        <v>0</v>
      </c>
      <c r="D6" s="89">
        <v>0</v>
      </c>
      <c r="E6" s="41">
        <v>0</v>
      </c>
      <c r="F6" s="39">
        <v>0</v>
      </c>
      <c r="G6" s="89">
        <v>0</v>
      </c>
      <c r="H6" s="41">
        <v>0</v>
      </c>
      <c r="I6" s="39">
        <v>80</v>
      </c>
      <c r="J6" s="89">
        <v>3200</v>
      </c>
      <c r="K6" s="90">
        <f t="shared" ref="K6:K13" si="0">J6/I6</f>
        <v>40</v>
      </c>
      <c r="L6" s="76">
        <f>I6+F6+C6</f>
        <v>80</v>
      </c>
      <c r="M6" s="76">
        <f>J6+G6+D6</f>
        <v>3200</v>
      </c>
      <c r="N6" s="90">
        <f t="shared" ref="N6:N13" si="1">M6/L6</f>
        <v>40</v>
      </c>
    </row>
    <row r="7" spans="2:15" ht="30" customHeight="1" thickTop="1" thickBot="1">
      <c r="B7" s="6" t="s">
        <v>15</v>
      </c>
      <c r="C7" s="35">
        <v>330</v>
      </c>
      <c r="D7" s="38">
        <v>12540</v>
      </c>
      <c r="E7" s="36">
        <f t="shared" ref="E7:E12" si="2">D7/C7</f>
        <v>38</v>
      </c>
      <c r="F7" s="35">
        <v>400</v>
      </c>
      <c r="G7" s="38">
        <v>15200</v>
      </c>
      <c r="H7" s="36">
        <f t="shared" ref="H7:H11" si="3">G7/F7</f>
        <v>38</v>
      </c>
      <c r="I7" s="35">
        <v>270</v>
      </c>
      <c r="J7" s="38">
        <v>10260</v>
      </c>
      <c r="K7" s="45">
        <f t="shared" si="0"/>
        <v>38</v>
      </c>
      <c r="L7" s="27">
        <f t="shared" ref="L7:L13" si="4">I7+F7+C7</f>
        <v>1000</v>
      </c>
      <c r="M7" s="27">
        <f t="shared" ref="M7:M13" si="5">J7+G7+D7</f>
        <v>38000</v>
      </c>
      <c r="N7" s="45">
        <f t="shared" si="1"/>
        <v>38</v>
      </c>
    </row>
    <row r="8" spans="2:15" ht="30" customHeight="1" thickTop="1" thickBot="1">
      <c r="B8" s="6" t="s">
        <v>14</v>
      </c>
      <c r="C8" s="38">
        <v>0</v>
      </c>
      <c r="D8" s="38">
        <v>0</v>
      </c>
      <c r="E8" s="36">
        <v>0</v>
      </c>
      <c r="F8" s="38">
        <v>0</v>
      </c>
      <c r="G8" s="38">
        <v>0</v>
      </c>
      <c r="H8" s="36">
        <v>0</v>
      </c>
      <c r="I8" s="38">
        <v>945</v>
      </c>
      <c r="J8" s="38">
        <v>29745</v>
      </c>
      <c r="K8" s="45">
        <f t="shared" si="0"/>
        <v>31.476190476190474</v>
      </c>
      <c r="L8" s="27">
        <f t="shared" si="4"/>
        <v>945</v>
      </c>
      <c r="M8" s="27">
        <f t="shared" si="5"/>
        <v>29745</v>
      </c>
      <c r="N8" s="45">
        <f t="shared" si="1"/>
        <v>31.476190476190474</v>
      </c>
    </row>
    <row r="9" spans="2:15" ht="30" customHeight="1" thickTop="1" thickBot="1">
      <c r="B9" s="6" t="s">
        <v>9</v>
      </c>
      <c r="C9" s="38">
        <v>600</v>
      </c>
      <c r="D9" s="38">
        <v>19200</v>
      </c>
      <c r="E9" s="36">
        <f t="shared" si="2"/>
        <v>32</v>
      </c>
      <c r="F9" s="38">
        <v>0</v>
      </c>
      <c r="G9" s="38">
        <v>0</v>
      </c>
      <c r="H9" s="36">
        <v>0</v>
      </c>
      <c r="I9" s="38">
        <v>600</v>
      </c>
      <c r="J9" s="38">
        <v>19200</v>
      </c>
      <c r="K9" s="45">
        <f t="shared" si="0"/>
        <v>32</v>
      </c>
      <c r="L9" s="27">
        <f t="shared" si="4"/>
        <v>1200</v>
      </c>
      <c r="M9" s="27">
        <f t="shared" si="5"/>
        <v>38400</v>
      </c>
      <c r="N9" s="45">
        <f t="shared" si="1"/>
        <v>32</v>
      </c>
    </row>
    <row r="10" spans="2:15" ht="30" customHeight="1" thickTop="1" thickBot="1">
      <c r="B10" s="6" t="s">
        <v>7</v>
      </c>
      <c r="C10" s="38">
        <v>0</v>
      </c>
      <c r="D10" s="38">
        <v>0</v>
      </c>
      <c r="E10" s="36">
        <v>0</v>
      </c>
      <c r="F10" s="38">
        <v>800</v>
      </c>
      <c r="G10" s="38">
        <v>24800</v>
      </c>
      <c r="H10" s="36">
        <f t="shared" si="3"/>
        <v>31</v>
      </c>
      <c r="I10" s="38">
        <v>200</v>
      </c>
      <c r="J10" s="38">
        <v>5400</v>
      </c>
      <c r="K10" s="45">
        <f t="shared" si="0"/>
        <v>27</v>
      </c>
      <c r="L10" s="27">
        <f t="shared" si="4"/>
        <v>1000</v>
      </c>
      <c r="M10" s="27">
        <f t="shared" si="5"/>
        <v>30200</v>
      </c>
      <c r="N10" s="45">
        <f t="shared" si="1"/>
        <v>30.2</v>
      </c>
    </row>
    <row r="11" spans="2:15" ht="30" customHeight="1" thickTop="1" thickBot="1">
      <c r="B11" s="6" t="s">
        <v>3</v>
      </c>
      <c r="C11" s="38">
        <v>2500</v>
      </c>
      <c r="D11" s="38">
        <v>73000</v>
      </c>
      <c r="E11" s="36">
        <v>29</v>
      </c>
      <c r="F11" s="38">
        <v>450</v>
      </c>
      <c r="G11" s="38">
        <v>14400</v>
      </c>
      <c r="H11" s="36">
        <f t="shared" si="3"/>
        <v>32</v>
      </c>
      <c r="I11" s="38">
        <v>1000</v>
      </c>
      <c r="J11" s="38">
        <v>30000</v>
      </c>
      <c r="K11" s="45">
        <f t="shared" si="0"/>
        <v>30</v>
      </c>
      <c r="L11" s="27">
        <f t="shared" si="4"/>
        <v>3950</v>
      </c>
      <c r="M11" s="27">
        <f t="shared" si="5"/>
        <v>117400</v>
      </c>
      <c r="N11" s="45">
        <f t="shared" si="1"/>
        <v>29.721518987341771</v>
      </c>
      <c r="O11" s="19"/>
    </row>
    <row r="12" spans="2:15" ht="30" customHeight="1" thickTop="1" thickBot="1">
      <c r="B12" s="6" t="s">
        <v>16</v>
      </c>
      <c r="C12" s="38">
        <v>1100</v>
      </c>
      <c r="D12" s="38">
        <v>29700</v>
      </c>
      <c r="E12" s="36">
        <f t="shared" si="2"/>
        <v>27</v>
      </c>
      <c r="F12" s="38">
        <v>0</v>
      </c>
      <c r="G12" s="38">
        <v>0</v>
      </c>
      <c r="H12" s="36">
        <v>0</v>
      </c>
      <c r="I12" s="38">
        <v>450</v>
      </c>
      <c r="J12" s="38">
        <v>11250</v>
      </c>
      <c r="K12" s="45">
        <f t="shared" si="0"/>
        <v>25</v>
      </c>
      <c r="L12" s="27">
        <f t="shared" si="4"/>
        <v>1550</v>
      </c>
      <c r="M12" s="27">
        <f t="shared" si="5"/>
        <v>40950</v>
      </c>
      <c r="N12" s="45">
        <f t="shared" si="1"/>
        <v>26.419354838709676</v>
      </c>
    </row>
    <row r="13" spans="2:15" ht="30" customHeight="1" thickTop="1">
      <c r="B13" s="84" t="s">
        <v>21</v>
      </c>
      <c r="C13" s="72">
        <v>0</v>
      </c>
      <c r="D13" s="72">
        <v>0</v>
      </c>
      <c r="E13" s="74">
        <v>0</v>
      </c>
      <c r="F13" s="72">
        <v>0</v>
      </c>
      <c r="G13" s="72">
        <v>0</v>
      </c>
      <c r="H13" s="74">
        <v>0</v>
      </c>
      <c r="I13" s="72">
        <v>24</v>
      </c>
      <c r="J13" s="72">
        <v>1200</v>
      </c>
      <c r="K13" s="42">
        <f t="shared" si="0"/>
        <v>50</v>
      </c>
      <c r="L13" s="65">
        <f t="shared" si="4"/>
        <v>24</v>
      </c>
      <c r="M13" s="65">
        <f t="shared" si="5"/>
        <v>1200</v>
      </c>
      <c r="N13" s="42">
        <f t="shared" si="1"/>
        <v>50</v>
      </c>
    </row>
    <row r="14" spans="2:15" ht="30" customHeight="1">
      <c r="B14" s="86" t="s">
        <v>13</v>
      </c>
      <c r="C14" s="63">
        <f>SUM(C6:C13)</f>
        <v>4530</v>
      </c>
      <c r="D14" s="63">
        <f>SUM(D6:D13)</f>
        <v>134440</v>
      </c>
      <c r="E14" s="75">
        <f>D14/C14</f>
        <v>29.677704194260485</v>
      </c>
      <c r="F14" s="63">
        <f>SUM(F6:F13)</f>
        <v>1650</v>
      </c>
      <c r="G14" s="63">
        <f>SUM(G6:G13)</f>
        <v>54400</v>
      </c>
      <c r="H14" s="75">
        <f>G14/F14</f>
        <v>32.969696969696969</v>
      </c>
      <c r="I14" s="63">
        <f>SUM(I6:I13)</f>
        <v>3569</v>
      </c>
      <c r="J14" s="63">
        <f>SUM(J6:J13)</f>
        <v>110255</v>
      </c>
      <c r="K14" s="43">
        <f>J14/I14</f>
        <v>30.89240683664892</v>
      </c>
      <c r="L14" s="63">
        <f>SUM(L6:L13)</f>
        <v>9749</v>
      </c>
      <c r="M14" s="63">
        <f>SUM(M6:M13)</f>
        <v>299095</v>
      </c>
      <c r="N14" s="43">
        <f>M14/L14</f>
        <v>30.679556877628475</v>
      </c>
    </row>
    <row r="15" spans="2:15">
      <c r="B15" s="103"/>
      <c r="C15" s="103"/>
      <c r="D15" s="103"/>
      <c r="E15" s="103"/>
      <c r="F15" s="103"/>
      <c r="G15" s="103"/>
      <c r="H15" s="103"/>
      <c r="I15" s="103"/>
      <c r="J15" s="103"/>
      <c r="K15" s="60"/>
      <c r="L15" s="61"/>
      <c r="M15" s="61"/>
    </row>
  </sheetData>
  <mergeCells count="8">
    <mergeCell ref="B2:N2"/>
    <mergeCell ref="B3:N3"/>
    <mergeCell ref="B15:J15"/>
    <mergeCell ref="B4:B5"/>
    <mergeCell ref="C4:E4"/>
    <mergeCell ref="L4:N4"/>
    <mergeCell ref="F4:H4"/>
    <mergeCell ref="I4:K4"/>
  </mergeCells>
  <pageMargins left="0.70866141732283472" right="0.70866141732283472" top="0.74803149606299213" bottom="0.74803149606299213" header="0.31496062992125984" footer="0.31496062992125984"/>
  <pageSetup scale="9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5"/>
  <sheetViews>
    <sheetView rightToLeft="1" zoomScaleNormal="100" workbookViewId="0">
      <selection activeCell="Q10" sqref="Q10"/>
    </sheetView>
  </sheetViews>
  <sheetFormatPr defaultRowHeight="15"/>
  <cols>
    <col min="1" max="1" width="1.140625" style="1" customWidth="1"/>
    <col min="2" max="2" width="17.5703125" style="1" customWidth="1"/>
    <col min="3" max="3" width="9.7109375" style="1" customWidth="1"/>
    <col min="4" max="4" width="10.5703125" style="1" customWidth="1"/>
    <col min="5" max="5" width="8.5703125" style="1" customWidth="1"/>
    <col min="6" max="7" width="7.5703125" style="1" customWidth="1"/>
    <col min="8" max="8" width="8" style="1" bestFit="1" customWidth="1"/>
    <col min="9" max="9" width="7.5703125" style="1" customWidth="1"/>
    <col min="10" max="10" width="11.140625" style="1" bestFit="1" customWidth="1"/>
    <col min="11" max="11" width="8" style="1" bestFit="1" customWidth="1"/>
    <col min="12" max="12" width="7.5703125" style="1" customWidth="1"/>
    <col min="13" max="13" width="11.140625" style="1" bestFit="1" customWidth="1"/>
    <col min="14" max="14" width="8" style="1" bestFit="1" customWidth="1"/>
    <col min="15" max="166" width="9.140625" style="1"/>
    <col min="167" max="167" width="1.140625" style="1" customWidth="1"/>
    <col min="168" max="168" width="20.42578125" style="1" customWidth="1"/>
    <col min="169" max="177" width="7.5703125" style="1" customWidth="1"/>
    <col min="178" max="422" width="9.140625" style="1"/>
    <col min="423" max="423" width="1.140625" style="1" customWidth="1"/>
    <col min="424" max="424" width="20.42578125" style="1" customWidth="1"/>
    <col min="425" max="433" width="7.5703125" style="1" customWidth="1"/>
    <col min="434" max="678" width="9.140625" style="1"/>
    <col min="679" max="679" width="1.140625" style="1" customWidth="1"/>
    <col min="680" max="680" width="20.42578125" style="1" customWidth="1"/>
    <col min="681" max="689" width="7.5703125" style="1" customWidth="1"/>
    <col min="690" max="934" width="9.140625" style="1"/>
    <col min="935" max="935" width="1.140625" style="1" customWidth="1"/>
    <col min="936" max="936" width="20.42578125" style="1" customWidth="1"/>
    <col min="937" max="945" width="7.5703125" style="1" customWidth="1"/>
    <col min="946" max="1190" width="9.140625" style="1"/>
    <col min="1191" max="1191" width="1.140625" style="1" customWidth="1"/>
    <col min="1192" max="1192" width="20.42578125" style="1" customWidth="1"/>
    <col min="1193" max="1201" width="7.5703125" style="1" customWidth="1"/>
    <col min="1202" max="1446" width="9.140625" style="1"/>
    <col min="1447" max="1447" width="1.140625" style="1" customWidth="1"/>
    <col min="1448" max="1448" width="20.42578125" style="1" customWidth="1"/>
    <col min="1449" max="1457" width="7.5703125" style="1" customWidth="1"/>
    <col min="1458" max="1702" width="9.140625" style="1"/>
    <col min="1703" max="1703" width="1.140625" style="1" customWidth="1"/>
    <col min="1704" max="1704" width="20.42578125" style="1" customWidth="1"/>
    <col min="1705" max="1713" width="7.5703125" style="1" customWidth="1"/>
    <col min="1714" max="1958" width="9.140625" style="1"/>
    <col min="1959" max="1959" width="1.140625" style="1" customWidth="1"/>
    <col min="1960" max="1960" width="20.42578125" style="1" customWidth="1"/>
    <col min="1961" max="1969" width="7.5703125" style="1" customWidth="1"/>
    <col min="1970" max="2214" width="9.140625" style="1"/>
    <col min="2215" max="2215" width="1.140625" style="1" customWidth="1"/>
    <col min="2216" max="2216" width="20.42578125" style="1" customWidth="1"/>
    <col min="2217" max="2225" width="7.5703125" style="1" customWidth="1"/>
    <col min="2226" max="2470" width="9.140625" style="1"/>
    <col min="2471" max="2471" width="1.140625" style="1" customWidth="1"/>
    <col min="2472" max="2472" width="20.42578125" style="1" customWidth="1"/>
    <col min="2473" max="2481" width="7.5703125" style="1" customWidth="1"/>
    <col min="2482" max="2726" width="9.140625" style="1"/>
    <col min="2727" max="2727" width="1.140625" style="1" customWidth="1"/>
    <col min="2728" max="2728" width="20.42578125" style="1" customWidth="1"/>
    <col min="2729" max="2737" width="7.5703125" style="1" customWidth="1"/>
    <col min="2738" max="2982" width="9.140625" style="1"/>
    <col min="2983" max="2983" width="1.140625" style="1" customWidth="1"/>
    <col min="2984" max="2984" width="20.42578125" style="1" customWidth="1"/>
    <col min="2985" max="2993" width="7.5703125" style="1" customWidth="1"/>
    <col min="2994" max="3238" width="9.140625" style="1"/>
    <col min="3239" max="3239" width="1.140625" style="1" customWidth="1"/>
    <col min="3240" max="3240" width="20.42578125" style="1" customWidth="1"/>
    <col min="3241" max="3249" width="7.5703125" style="1" customWidth="1"/>
    <col min="3250" max="3494" width="9.140625" style="1"/>
    <col min="3495" max="3495" width="1.140625" style="1" customWidth="1"/>
    <col min="3496" max="3496" width="20.42578125" style="1" customWidth="1"/>
    <col min="3497" max="3505" width="7.5703125" style="1" customWidth="1"/>
    <col min="3506" max="3750" width="9.140625" style="1"/>
    <col min="3751" max="3751" width="1.140625" style="1" customWidth="1"/>
    <col min="3752" max="3752" width="20.42578125" style="1" customWidth="1"/>
    <col min="3753" max="3761" width="7.5703125" style="1" customWidth="1"/>
    <col min="3762" max="4006" width="9.140625" style="1"/>
    <col min="4007" max="4007" width="1.140625" style="1" customWidth="1"/>
    <col min="4008" max="4008" width="20.42578125" style="1" customWidth="1"/>
    <col min="4009" max="4017" width="7.5703125" style="1" customWidth="1"/>
    <col min="4018" max="4262" width="9.140625" style="1"/>
    <col min="4263" max="4263" width="1.140625" style="1" customWidth="1"/>
    <col min="4264" max="4264" width="20.42578125" style="1" customWidth="1"/>
    <col min="4265" max="4273" width="7.5703125" style="1" customWidth="1"/>
    <col min="4274" max="4518" width="9.140625" style="1"/>
    <col min="4519" max="4519" width="1.140625" style="1" customWidth="1"/>
    <col min="4520" max="4520" width="20.42578125" style="1" customWidth="1"/>
    <col min="4521" max="4529" width="7.5703125" style="1" customWidth="1"/>
    <col min="4530" max="4774" width="9.140625" style="1"/>
    <col min="4775" max="4775" width="1.140625" style="1" customWidth="1"/>
    <col min="4776" max="4776" width="20.42578125" style="1" customWidth="1"/>
    <col min="4777" max="4785" width="7.5703125" style="1" customWidth="1"/>
    <col min="4786" max="5030" width="9.140625" style="1"/>
    <col min="5031" max="5031" width="1.140625" style="1" customWidth="1"/>
    <col min="5032" max="5032" width="20.42578125" style="1" customWidth="1"/>
    <col min="5033" max="5041" width="7.5703125" style="1" customWidth="1"/>
    <col min="5042" max="5286" width="9.140625" style="1"/>
    <col min="5287" max="5287" width="1.140625" style="1" customWidth="1"/>
    <col min="5288" max="5288" width="20.42578125" style="1" customWidth="1"/>
    <col min="5289" max="5297" width="7.5703125" style="1" customWidth="1"/>
    <col min="5298" max="5542" width="9.140625" style="1"/>
    <col min="5543" max="5543" width="1.140625" style="1" customWidth="1"/>
    <col min="5544" max="5544" width="20.42578125" style="1" customWidth="1"/>
    <col min="5545" max="5553" width="7.5703125" style="1" customWidth="1"/>
    <col min="5554" max="5798" width="9.140625" style="1"/>
    <col min="5799" max="5799" width="1.140625" style="1" customWidth="1"/>
    <col min="5800" max="5800" width="20.42578125" style="1" customWidth="1"/>
    <col min="5801" max="5809" width="7.5703125" style="1" customWidth="1"/>
    <col min="5810" max="6054" width="9.140625" style="1"/>
    <col min="6055" max="6055" width="1.140625" style="1" customWidth="1"/>
    <col min="6056" max="6056" width="20.42578125" style="1" customWidth="1"/>
    <col min="6057" max="6065" width="7.5703125" style="1" customWidth="1"/>
    <col min="6066" max="6310" width="9.140625" style="1"/>
    <col min="6311" max="6311" width="1.140625" style="1" customWidth="1"/>
    <col min="6312" max="6312" width="20.42578125" style="1" customWidth="1"/>
    <col min="6313" max="6321" width="7.5703125" style="1" customWidth="1"/>
    <col min="6322" max="6566" width="9.140625" style="1"/>
    <col min="6567" max="6567" width="1.140625" style="1" customWidth="1"/>
    <col min="6568" max="6568" width="20.42578125" style="1" customWidth="1"/>
    <col min="6569" max="6577" width="7.5703125" style="1" customWidth="1"/>
    <col min="6578" max="6822" width="9.140625" style="1"/>
    <col min="6823" max="6823" width="1.140625" style="1" customWidth="1"/>
    <col min="6824" max="6824" width="20.42578125" style="1" customWidth="1"/>
    <col min="6825" max="6833" width="7.5703125" style="1" customWidth="1"/>
    <col min="6834" max="7078" width="9.140625" style="1"/>
    <col min="7079" max="7079" width="1.140625" style="1" customWidth="1"/>
    <col min="7080" max="7080" width="20.42578125" style="1" customWidth="1"/>
    <col min="7081" max="7089" width="7.5703125" style="1" customWidth="1"/>
    <col min="7090" max="7334" width="9.140625" style="1"/>
    <col min="7335" max="7335" width="1.140625" style="1" customWidth="1"/>
    <col min="7336" max="7336" width="20.42578125" style="1" customWidth="1"/>
    <col min="7337" max="7345" width="7.5703125" style="1" customWidth="1"/>
    <col min="7346" max="7590" width="9.140625" style="1"/>
    <col min="7591" max="7591" width="1.140625" style="1" customWidth="1"/>
    <col min="7592" max="7592" width="20.42578125" style="1" customWidth="1"/>
    <col min="7593" max="7601" width="7.5703125" style="1" customWidth="1"/>
    <col min="7602" max="7846" width="9.140625" style="1"/>
    <col min="7847" max="7847" width="1.140625" style="1" customWidth="1"/>
    <col min="7848" max="7848" width="20.42578125" style="1" customWidth="1"/>
    <col min="7849" max="7857" width="7.5703125" style="1" customWidth="1"/>
    <col min="7858" max="8102" width="9.140625" style="1"/>
    <col min="8103" max="8103" width="1.140625" style="1" customWidth="1"/>
    <col min="8104" max="8104" width="20.42578125" style="1" customWidth="1"/>
    <col min="8105" max="8113" width="7.5703125" style="1" customWidth="1"/>
    <col min="8114" max="8358" width="9.140625" style="1"/>
    <col min="8359" max="8359" width="1.140625" style="1" customWidth="1"/>
    <col min="8360" max="8360" width="20.42578125" style="1" customWidth="1"/>
    <col min="8361" max="8369" width="7.5703125" style="1" customWidth="1"/>
    <col min="8370" max="8614" width="9.140625" style="1"/>
    <col min="8615" max="8615" width="1.140625" style="1" customWidth="1"/>
    <col min="8616" max="8616" width="20.42578125" style="1" customWidth="1"/>
    <col min="8617" max="8625" width="7.5703125" style="1" customWidth="1"/>
    <col min="8626" max="8870" width="9.140625" style="1"/>
    <col min="8871" max="8871" width="1.140625" style="1" customWidth="1"/>
    <col min="8872" max="8872" width="20.42578125" style="1" customWidth="1"/>
    <col min="8873" max="8881" width="7.5703125" style="1" customWidth="1"/>
    <col min="8882" max="9126" width="9.140625" style="1"/>
    <col min="9127" max="9127" width="1.140625" style="1" customWidth="1"/>
    <col min="9128" max="9128" width="20.42578125" style="1" customWidth="1"/>
    <col min="9129" max="9137" width="7.5703125" style="1" customWidth="1"/>
    <col min="9138" max="9382" width="9.140625" style="1"/>
    <col min="9383" max="9383" width="1.140625" style="1" customWidth="1"/>
    <col min="9384" max="9384" width="20.42578125" style="1" customWidth="1"/>
    <col min="9385" max="9393" width="7.5703125" style="1" customWidth="1"/>
    <col min="9394" max="9638" width="9.140625" style="1"/>
    <col min="9639" max="9639" width="1.140625" style="1" customWidth="1"/>
    <col min="9640" max="9640" width="20.42578125" style="1" customWidth="1"/>
    <col min="9641" max="9649" width="7.5703125" style="1" customWidth="1"/>
    <col min="9650" max="9894" width="9.140625" style="1"/>
    <col min="9895" max="9895" width="1.140625" style="1" customWidth="1"/>
    <col min="9896" max="9896" width="20.42578125" style="1" customWidth="1"/>
    <col min="9897" max="9905" width="7.5703125" style="1" customWidth="1"/>
    <col min="9906" max="10150" width="9.140625" style="1"/>
    <col min="10151" max="10151" width="1.140625" style="1" customWidth="1"/>
    <col min="10152" max="10152" width="20.42578125" style="1" customWidth="1"/>
    <col min="10153" max="10161" width="7.5703125" style="1" customWidth="1"/>
    <col min="10162" max="10406" width="9.140625" style="1"/>
    <col min="10407" max="10407" width="1.140625" style="1" customWidth="1"/>
    <col min="10408" max="10408" width="20.42578125" style="1" customWidth="1"/>
    <col min="10409" max="10417" width="7.5703125" style="1" customWidth="1"/>
    <col min="10418" max="10662" width="9.140625" style="1"/>
    <col min="10663" max="10663" width="1.140625" style="1" customWidth="1"/>
    <col min="10664" max="10664" width="20.42578125" style="1" customWidth="1"/>
    <col min="10665" max="10673" width="7.5703125" style="1" customWidth="1"/>
    <col min="10674" max="10918" width="9.140625" style="1"/>
    <col min="10919" max="10919" width="1.140625" style="1" customWidth="1"/>
    <col min="10920" max="10920" width="20.42578125" style="1" customWidth="1"/>
    <col min="10921" max="10929" width="7.5703125" style="1" customWidth="1"/>
    <col min="10930" max="11174" width="9.140625" style="1"/>
    <col min="11175" max="11175" width="1.140625" style="1" customWidth="1"/>
    <col min="11176" max="11176" width="20.42578125" style="1" customWidth="1"/>
    <col min="11177" max="11185" width="7.5703125" style="1" customWidth="1"/>
    <col min="11186" max="11430" width="9.140625" style="1"/>
    <col min="11431" max="11431" width="1.140625" style="1" customWidth="1"/>
    <col min="11432" max="11432" width="20.42578125" style="1" customWidth="1"/>
    <col min="11433" max="11441" width="7.5703125" style="1" customWidth="1"/>
    <col min="11442" max="11686" width="9.140625" style="1"/>
    <col min="11687" max="11687" width="1.140625" style="1" customWidth="1"/>
    <col min="11688" max="11688" width="20.42578125" style="1" customWidth="1"/>
    <col min="11689" max="11697" width="7.5703125" style="1" customWidth="1"/>
    <col min="11698" max="11942" width="9.140625" style="1"/>
    <col min="11943" max="11943" width="1.140625" style="1" customWidth="1"/>
    <col min="11944" max="11944" width="20.42578125" style="1" customWidth="1"/>
    <col min="11945" max="11953" width="7.5703125" style="1" customWidth="1"/>
    <col min="11954" max="12198" width="9.140625" style="1"/>
    <col min="12199" max="12199" width="1.140625" style="1" customWidth="1"/>
    <col min="12200" max="12200" width="20.42578125" style="1" customWidth="1"/>
    <col min="12201" max="12209" width="7.5703125" style="1" customWidth="1"/>
    <col min="12210" max="12454" width="9.140625" style="1"/>
    <col min="12455" max="12455" width="1.140625" style="1" customWidth="1"/>
    <col min="12456" max="12456" width="20.42578125" style="1" customWidth="1"/>
    <col min="12457" max="12465" width="7.5703125" style="1" customWidth="1"/>
    <col min="12466" max="12710" width="9.140625" style="1"/>
    <col min="12711" max="12711" width="1.140625" style="1" customWidth="1"/>
    <col min="12712" max="12712" width="20.42578125" style="1" customWidth="1"/>
    <col min="12713" max="12721" width="7.5703125" style="1" customWidth="1"/>
    <col min="12722" max="12966" width="9.140625" style="1"/>
    <col min="12967" max="12967" width="1.140625" style="1" customWidth="1"/>
    <col min="12968" max="12968" width="20.42578125" style="1" customWidth="1"/>
    <col min="12969" max="12977" width="7.5703125" style="1" customWidth="1"/>
    <col min="12978" max="13222" width="9.140625" style="1"/>
    <col min="13223" max="13223" width="1.140625" style="1" customWidth="1"/>
    <col min="13224" max="13224" width="20.42578125" style="1" customWidth="1"/>
    <col min="13225" max="13233" width="7.5703125" style="1" customWidth="1"/>
    <col min="13234" max="13478" width="9.140625" style="1"/>
    <col min="13479" max="13479" width="1.140625" style="1" customWidth="1"/>
    <col min="13480" max="13480" width="20.42578125" style="1" customWidth="1"/>
    <col min="13481" max="13489" width="7.5703125" style="1" customWidth="1"/>
    <col min="13490" max="13734" width="9.140625" style="1"/>
    <col min="13735" max="13735" width="1.140625" style="1" customWidth="1"/>
    <col min="13736" max="13736" width="20.42578125" style="1" customWidth="1"/>
    <col min="13737" max="13745" width="7.5703125" style="1" customWidth="1"/>
    <col min="13746" max="13990" width="9.140625" style="1"/>
    <col min="13991" max="13991" width="1.140625" style="1" customWidth="1"/>
    <col min="13992" max="13992" width="20.42578125" style="1" customWidth="1"/>
    <col min="13993" max="14001" width="7.5703125" style="1" customWidth="1"/>
    <col min="14002" max="14246" width="9.140625" style="1"/>
    <col min="14247" max="14247" width="1.140625" style="1" customWidth="1"/>
    <col min="14248" max="14248" width="20.42578125" style="1" customWidth="1"/>
    <col min="14249" max="14257" width="7.5703125" style="1" customWidth="1"/>
    <col min="14258" max="14502" width="9.140625" style="1"/>
    <col min="14503" max="14503" width="1.140625" style="1" customWidth="1"/>
    <col min="14504" max="14504" width="20.42578125" style="1" customWidth="1"/>
    <col min="14505" max="14513" width="7.5703125" style="1" customWidth="1"/>
    <col min="14514" max="14758" width="9.140625" style="1"/>
    <col min="14759" max="14759" width="1.140625" style="1" customWidth="1"/>
    <col min="14760" max="14760" width="20.42578125" style="1" customWidth="1"/>
    <col min="14761" max="14769" width="7.5703125" style="1" customWidth="1"/>
    <col min="14770" max="15014" width="9.140625" style="1"/>
    <col min="15015" max="15015" width="1.140625" style="1" customWidth="1"/>
    <col min="15016" max="15016" width="20.42578125" style="1" customWidth="1"/>
    <col min="15017" max="15025" width="7.5703125" style="1" customWidth="1"/>
    <col min="15026" max="15270" width="9.140625" style="1"/>
    <col min="15271" max="15271" width="1.140625" style="1" customWidth="1"/>
    <col min="15272" max="15272" width="20.42578125" style="1" customWidth="1"/>
    <col min="15273" max="15281" width="7.5703125" style="1" customWidth="1"/>
    <col min="15282" max="15526" width="9.140625" style="1"/>
    <col min="15527" max="15527" width="1.140625" style="1" customWidth="1"/>
    <col min="15528" max="15528" width="20.42578125" style="1" customWidth="1"/>
    <col min="15529" max="15537" width="7.5703125" style="1" customWidth="1"/>
    <col min="15538" max="15782" width="9.140625" style="1"/>
    <col min="15783" max="15783" width="1.140625" style="1" customWidth="1"/>
    <col min="15784" max="15784" width="20.42578125" style="1" customWidth="1"/>
    <col min="15785" max="15793" width="7.5703125" style="1" customWidth="1"/>
    <col min="15794" max="16038" width="9.140625" style="1"/>
    <col min="16039" max="16039" width="1.140625" style="1" customWidth="1"/>
    <col min="16040" max="16040" width="20.42578125" style="1" customWidth="1"/>
    <col min="16041" max="16049" width="7.5703125" style="1" customWidth="1"/>
    <col min="16050" max="16339" width="9.140625" style="1"/>
    <col min="16340" max="16384" width="9" style="1" customWidth="1"/>
  </cols>
  <sheetData>
    <row r="1" spans="2:15" ht="12.75" customHeight="1"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2:15" ht="21">
      <c r="B2" s="113" t="s">
        <v>41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2:15" ht="17.25">
      <c r="B3" s="99" t="s">
        <v>8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2:15" ht="30" customHeight="1">
      <c r="B4" s="114" t="s">
        <v>2</v>
      </c>
      <c r="C4" s="114" t="s">
        <v>28</v>
      </c>
      <c r="D4" s="114"/>
      <c r="E4" s="114"/>
      <c r="F4" s="114" t="s">
        <v>33</v>
      </c>
      <c r="G4" s="114"/>
      <c r="H4" s="114"/>
      <c r="I4" s="114" t="s">
        <v>27</v>
      </c>
      <c r="J4" s="114"/>
      <c r="K4" s="114"/>
      <c r="L4" s="114" t="s">
        <v>1</v>
      </c>
      <c r="M4" s="114"/>
      <c r="N4" s="114"/>
    </row>
    <row r="5" spans="2:15" ht="30" customHeight="1">
      <c r="B5" s="114"/>
      <c r="C5" s="21" t="s">
        <v>0</v>
      </c>
      <c r="D5" s="21" t="s">
        <v>22</v>
      </c>
      <c r="E5" s="21" t="s">
        <v>23</v>
      </c>
      <c r="F5" s="21" t="s">
        <v>0</v>
      </c>
      <c r="G5" s="21" t="s">
        <v>22</v>
      </c>
      <c r="H5" s="21" t="s">
        <v>23</v>
      </c>
      <c r="I5" s="21" t="s">
        <v>0</v>
      </c>
      <c r="J5" s="21" t="s">
        <v>22</v>
      </c>
      <c r="K5" s="21" t="s">
        <v>23</v>
      </c>
      <c r="L5" s="21" t="s">
        <v>0</v>
      </c>
      <c r="M5" s="21" t="s">
        <v>22</v>
      </c>
      <c r="N5" s="21" t="s">
        <v>23</v>
      </c>
    </row>
    <row r="6" spans="2:15" ht="30" customHeight="1" thickBot="1">
      <c r="B6" s="16" t="s">
        <v>6</v>
      </c>
      <c r="C6" s="39">
        <v>0</v>
      </c>
      <c r="D6" s="39">
        <v>0</v>
      </c>
      <c r="E6" s="39">
        <v>0</v>
      </c>
      <c r="F6" s="88"/>
      <c r="G6" s="88"/>
      <c r="H6" s="41">
        <v>0</v>
      </c>
      <c r="I6" s="88">
        <v>60</v>
      </c>
      <c r="J6" s="88">
        <v>2200</v>
      </c>
      <c r="K6" s="41">
        <f t="shared" ref="K6:K11" si="0">J6/I6</f>
        <v>36.666666666666664</v>
      </c>
      <c r="L6" s="88">
        <f>I6+F6+C6</f>
        <v>60</v>
      </c>
      <c r="M6" s="88">
        <f>J6+G6+D6</f>
        <v>2200</v>
      </c>
      <c r="N6" s="41">
        <f>M6/L6</f>
        <v>36.666666666666664</v>
      </c>
    </row>
    <row r="7" spans="2:15" ht="30" customHeight="1" thickTop="1" thickBot="1">
      <c r="B7" s="2" t="s">
        <v>15</v>
      </c>
      <c r="C7" s="35">
        <v>0</v>
      </c>
      <c r="D7" s="35">
        <v>0</v>
      </c>
      <c r="E7" s="35">
        <v>0</v>
      </c>
      <c r="F7" s="46">
        <v>50</v>
      </c>
      <c r="G7" s="46">
        <v>2050</v>
      </c>
      <c r="H7" s="36">
        <f>G7/F7</f>
        <v>41</v>
      </c>
      <c r="I7" s="46">
        <v>0</v>
      </c>
      <c r="J7" s="46">
        <v>0</v>
      </c>
      <c r="K7" s="36">
        <v>0</v>
      </c>
      <c r="L7" s="46">
        <f t="shared" ref="L7:L11" si="1">I7+F7+C7</f>
        <v>50</v>
      </c>
      <c r="M7" s="46">
        <f t="shared" ref="M7:M11" si="2">J7+G7+D7</f>
        <v>2050</v>
      </c>
      <c r="N7" s="36">
        <f t="shared" ref="N7:N11" si="3">M7/L7</f>
        <v>41</v>
      </c>
    </row>
    <row r="8" spans="2:15" ht="30" customHeight="1" thickTop="1" thickBot="1">
      <c r="B8" s="2" t="s">
        <v>9</v>
      </c>
      <c r="C8" s="35">
        <v>0</v>
      </c>
      <c r="D8" s="35">
        <v>0</v>
      </c>
      <c r="E8" s="35">
        <v>0</v>
      </c>
      <c r="F8" s="46"/>
      <c r="G8" s="46"/>
      <c r="H8" s="36">
        <v>0</v>
      </c>
      <c r="I8" s="46">
        <v>4000</v>
      </c>
      <c r="J8" s="46">
        <v>205000</v>
      </c>
      <c r="K8" s="36">
        <f t="shared" si="0"/>
        <v>51.25</v>
      </c>
      <c r="L8" s="46">
        <f t="shared" si="1"/>
        <v>4000</v>
      </c>
      <c r="M8" s="46">
        <f t="shared" si="2"/>
        <v>205000</v>
      </c>
      <c r="N8" s="36">
        <f t="shared" si="3"/>
        <v>51.25</v>
      </c>
    </row>
    <row r="9" spans="2:15" ht="30" customHeight="1" thickTop="1" thickBot="1">
      <c r="B9" s="2" t="s">
        <v>14</v>
      </c>
      <c r="C9" s="35">
        <v>0</v>
      </c>
      <c r="D9" s="35">
        <v>0</v>
      </c>
      <c r="E9" s="35">
        <v>0</v>
      </c>
      <c r="F9" s="46">
        <v>50</v>
      </c>
      <c r="G9" s="46">
        <v>1950</v>
      </c>
      <c r="H9" s="36">
        <f>G9/F9</f>
        <v>39</v>
      </c>
      <c r="I9" s="46">
        <v>10</v>
      </c>
      <c r="J9" s="46">
        <v>390</v>
      </c>
      <c r="K9" s="36">
        <f t="shared" si="0"/>
        <v>39</v>
      </c>
      <c r="L9" s="46">
        <f t="shared" si="1"/>
        <v>60</v>
      </c>
      <c r="M9" s="46">
        <f t="shared" si="2"/>
        <v>2340</v>
      </c>
      <c r="N9" s="36">
        <f>M9/L9</f>
        <v>39</v>
      </c>
    </row>
    <row r="10" spans="2:15" ht="30" customHeight="1" thickTop="1" thickBot="1">
      <c r="B10" s="2" t="s">
        <v>3</v>
      </c>
      <c r="C10" s="35">
        <v>1480</v>
      </c>
      <c r="D10" s="35">
        <v>96650</v>
      </c>
      <c r="E10" s="36">
        <f>D10/C10</f>
        <v>65.304054054054049</v>
      </c>
      <c r="F10" s="46">
        <v>0</v>
      </c>
      <c r="G10" s="46">
        <v>0</v>
      </c>
      <c r="H10" s="36">
        <v>0</v>
      </c>
      <c r="I10" s="46">
        <v>200</v>
      </c>
      <c r="J10" s="46">
        <v>12600</v>
      </c>
      <c r="K10" s="36">
        <f t="shared" si="0"/>
        <v>63</v>
      </c>
      <c r="L10" s="46">
        <f t="shared" si="1"/>
        <v>1680</v>
      </c>
      <c r="M10" s="46">
        <f t="shared" si="2"/>
        <v>109250</v>
      </c>
      <c r="N10" s="36">
        <f t="shared" si="3"/>
        <v>65.029761904761898</v>
      </c>
    </row>
    <row r="11" spans="2:15" ht="30" customHeight="1" thickTop="1">
      <c r="B11" s="92" t="s">
        <v>7</v>
      </c>
      <c r="C11" s="73">
        <v>0</v>
      </c>
      <c r="D11" s="73">
        <v>0</v>
      </c>
      <c r="E11" s="73">
        <v>0</v>
      </c>
      <c r="F11" s="94">
        <v>40</v>
      </c>
      <c r="G11" s="94">
        <v>1080</v>
      </c>
      <c r="H11" s="74">
        <f t="shared" ref="H11" si="4">G11/F11</f>
        <v>27</v>
      </c>
      <c r="I11" s="94">
        <v>10</v>
      </c>
      <c r="J11" s="94">
        <v>190</v>
      </c>
      <c r="K11" s="74">
        <f t="shared" si="0"/>
        <v>19</v>
      </c>
      <c r="L11" s="94">
        <f t="shared" si="1"/>
        <v>50</v>
      </c>
      <c r="M11" s="94">
        <f t="shared" si="2"/>
        <v>1270</v>
      </c>
      <c r="N11" s="74">
        <f t="shared" si="3"/>
        <v>25.4</v>
      </c>
    </row>
    <row r="12" spans="2:15" ht="30" customHeight="1">
      <c r="B12" s="95" t="s">
        <v>13</v>
      </c>
      <c r="C12" s="97">
        <f>SUM(C6:C11)</f>
        <v>1480</v>
      </c>
      <c r="D12" s="97">
        <f>SUM(D6:D11)</f>
        <v>96650</v>
      </c>
      <c r="E12" s="75">
        <f>D12/C12</f>
        <v>65.304054054054049</v>
      </c>
      <c r="F12" s="97">
        <f>SUM(F6:F11)</f>
        <v>140</v>
      </c>
      <c r="G12" s="97">
        <f>SUM(G6:G11)</f>
        <v>5080</v>
      </c>
      <c r="H12" s="75">
        <f>G12/F12</f>
        <v>36.285714285714285</v>
      </c>
      <c r="I12" s="97">
        <f>SUM(I6:I11)</f>
        <v>4280</v>
      </c>
      <c r="J12" s="97">
        <f>SUM(J6:J11)</f>
        <v>220380</v>
      </c>
      <c r="K12" s="75">
        <f>J12/I12</f>
        <v>51.490654205607477</v>
      </c>
      <c r="L12" s="97">
        <f>SUM(L6:L11)</f>
        <v>5900</v>
      </c>
      <c r="M12" s="97">
        <f>SUM(M6:M11)</f>
        <v>322110</v>
      </c>
      <c r="N12" s="75">
        <f>M12/L12</f>
        <v>54.594915254237286</v>
      </c>
    </row>
    <row r="13" spans="2:15">
      <c r="B13" s="111"/>
      <c r="C13" s="111"/>
      <c r="D13" s="111"/>
      <c r="E13" s="111"/>
      <c r="F13" s="112"/>
      <c r="G13" s="112"/>
      <c r="O13" s="20" t="s">
        <v>32</v>
      </c>
    </row>
    <row r="15" spans="2:15">
      <c r="B15" s="4" t="s">
        <v>19</v>
      </c>
      <c r="C15" s="4"/>
      <c r="D15" s="4"/>
      <c r="E15" s="4"/>
    </row>
  </sheetData>
  <mergeCells count="9">
    <mergeCell ref="B13:G13"/>
    <mergeCell ref="B1:N1"/>
    <mergeCell ref="B2:N2"/>
    <mergeCell ref="B3:N3"/>
    <mergeCell ref="B4:B5"/>
    <mergeCell ref="F4:H4"/>
    <mergeCell ref="I4:K4"/>
    <mergeCell ref="L4:N4"/>
    <mergeCell ref="C4:E4"/>
  </mergeCells>
  <pageMargins left="0.70866141732283472" right="0.70866141732283472" top="0.74803149606299213" bottom="0.74803149606299213" header="0.31496062992125984" footer="0.31496062992125984"/>
  <pageSetup scale="9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8"/>
  <sheetViews>
    <sheetView rightToLeft="1" zoomScaleNormal="100" workbookViewId="0">
      <selection activeCell="A4" sqref="A4:XFD14"/>
    </sheetView>
  </sheetViews>
  <sheetFormatPr defaultRowHeight="15"/>
  <cols>
    <col min="1" max="1" width="2.28515625" style="1" customWidth="1"/>
    <col min="2" max="2" width="17.5703125" style="1" customWidth="1"/>
    <col min="3" max="3" width="7.5703125" style="1" customWidth="1"/>
    <col min="4" max="4" width="8" style="1" bestFit="1" customWidth="1"/>
    <col min="5" max="5" width="14.140625" style="1" bestFit="1" customWidth="1"/>
    <col min="6" max="6" width="8" style="1" bestFit="1" customWidth="1"/>
    <col min="7" max="7" width="9.7109375" style="1" bestFit="1" customWidth="1"/>
    <col min="8" max="8" width="14.140625" style="1" bestFit="1" customWidth="1"/>
    <col min="9" max="9" width="7.7109375" style="1" customWidth="1"/>
    <col min="10" max="10" width="9.7109375" style="1" bestFit="1" customWidth="1"/>
    <col min="11" max="11" width="7.5703125" style="1" customWidth="1"/>
    <col min="12" max="163" width="9.140625" style="1"/>
    <col min="164" max="164" width="1.140625" style="1" customWidth="1"/>
    <col min="165" max="165" width="20.42578125" style="1" customWidth="1"/>
    <col min="166" max="174" width="7.5703125" style="1" customWidth="1"/>
    <col min="175" max="419" width="9.140625" style="1"/>
    <col min="420" max="420" width="1.140625" style="1" customWidth="1"/>
    <col min="421" max="421" width="20.42578125" style="1" customWidth="1"/>
    <col min="422" max="430" width="7.5703125" style="1" customWidth="1"/>
    <col min="431" max="675" width="9.140625" style="1"/>
    <col min="676" max="676" width="1.140625" style="1" customWidth="1"/>
    <col min="677" max="677" width="20.42578125" style="1" customWidth="1"/>
    <col min="678" max="686" width="7.5703125" style="1" customWidth="1"/>
    <col min="687" max="931" width="9.140625" style="1"/>
    <col min="932" max="932" width="1.140625" style="1" customWidth="1"/>
    <col min="933" max="933" width="20.42578125" style="1" customWidth="1"/>
    <col min="934" max="942" width="7.5703125" style="1" customWidth="1"/>
    <col min="943" max="1187" width="9.140625" style="1"/>
    <col min="1188" max="1188" width="1.140625" style="1" customWidth="1"/>
    <col min="1189" max="1189" width="20.42578125" style="1" customWidth="1"/>
    <col min="1190" max="1198" width="7.5703125" style="1" customWidth="1"/>
    <col min="1199" max="1443" width="9.140625" style="1"/>
    <col min="1444" max="1444" width="1.140625" style="1" customWidth="1"/>
    <col min="1445" max="1445" width="20.42578125" style="1" customWidth="1"/>
    <col min="1446" max="1454" width="7.5703125" style="1" customWidth="1"/>
    <col min="1455" max="1699" width="9.140625" style="1"/>
    <col min="1700" max="1700" width="1.140625" style="1" customWidth="1"/>
    <col min="1701" max="1701" width="20.42578125" style="1" customWidth="1"/>
    <col min="1702" max="1710" width="7.5703125" style="1" customWidth="1"/>
    <col min="1711" max="1955" width="9.140625" style="1"/>
    <col min="1956" max="1956" width="1.140625" style="1" customWidth="1"/>
    <col min="1957" max="1957" width="20.42578125" style="1" customWidth="1"/>
    <col min="1958" max="1966" width="7.5703125" style="1" customWidth="1"/>
    <col min="1967" max="2211" width="9.140625" style="1"/>
    <col min="2212" max="2212" width="1.140625" style="1" customWidth="1"/>
    <col min="2213" max="2213" width="20.42578125" style="1" customWidth="1"/>
    <col min="2214" max="2222" width="7.5703125" style="1" customWidth="1"/>
    <col min="2223" max="2467" width="9.140625" style="1"/>
    <col min="2468" max="2468" width="1.140625" style="1" customWidth="1"/>
    <col min="2469" max="2469" width="20.42578125" style="1" customWidth="1"/>
    <col min="2470" max="2478" width="7.5703125" style="1" customWidth="1"/>
    <col min="2479" max="2723" width="9.140625" style="1"/>
    <col min="2724" max="2724" width="1.140625" style="1" customWidth="1"/>
    <col min="2725" max="2725" width="20.42578125" style="1" customWidth="1"/>
    <col min="2726" max="2734" width="7.5703125" style="1" customWidth="1"/>
    <col min="2735" max="2979" width="9.140625" style="1"/>
    <col min="2980" max="2980" width="1.140625" style="1" customWidth="1"/>
    <col min="2981" max="2981" width="20.42578125" style="1" customWidth="1"/>
    <col min="2982" max="2990" width="7.5703125" style="1" customWidth="1"/>
    <col min="2991" max="3235" width="9.140625" style="1"/>
    <col min="3236" max="3236" width="1.140625" style="1" customWidth="1"/>
    <col min="3237" max="3237" width="20.42578125" style="1" customWidth="1"/>
    <col min="3238" max="3246" width="7.5703125" style="1" customWidth="1"/>
    <col min="3247" max="3491" width="9.140625" style="1"/>
    <col min="3492" max="3492" width="1.140625" style="1" customWidth="1"/>
    <col min="3493" max="3493" width="20.42578125" style="1" customWidth="1"/>
    <col min="3494" max="3502" width="7.5703125" style="1" customWidth="1"/>
    <col min="3503" max="3747" width="9.140625" style="1"/>
    <col min="3748" max="3748" width="1.140625" style="1" customWidth="1"/>
    <col min="3749" max="3749" width="20.42578125" style="1" customWidth="1"/>
    <col min="3750" max="3758" width="7.5703125" style="1" customWidth="1"/>
    <col min="3759" max="4003" width="9.140625" style="1"/>
    <col min="4004" max="4004" width="1.140625" style="1" customWidth="1"/>
    <col min="4005" max="4005" width="20.42578125" style="1" customWidth="1"/>
    <col min="4006" max="4014" width="7.5703125" style="1" customWidth="1"/>
    <col min="4015" max="4259" width="9.140625" style="1"/>
    <col min="4260" max="4260" width="1.140625" style="1" customWidth="1"/>
    <col min="4261" max="4261" width="20.42578125" style="1" customWidth="1"/>
    <col min="4262" max="4270" width="7.5703125" style="1" customWidth="1"/>
    <col min="4271" max="4515" width="9.140625" style="1"/>
    <col min="4516" max="4516" width="1.140625" style="1" customWidth="1"/>
    <col min="4517" max="4517" width="20.42578125" style="1" customWidth="1"/>
    <col min="4518" max="4526" width="7.5703125" style="1" customWidth="1"/>
    <col min="4527" max="4771" width="9.140625" style="1"/>
    <col min="4772" max="4772" width="1.140625" style="1" customWidth="1"/>
    <col min="4773" max="4773" width="20.42578125" style="1" customWidth="1"/>
    <col min="4774" max="4782" width="7.5703125" style="1" customWidth="1"/>
    <col min="4783" max="5027" width="9.140625" style="1"/>
    <col min="5028" max="5028" width="1.140625" style="1" customWidth="1"/>
    <col min="5029" max="5029" width="20.42578125" style="1" customWidth="1"/>
    <col min="5030" max="5038" width="7.5703125" style="1" customWidth="1"/>
    <col min="5039" max="5283" width="9.140625" style="1"/>
    <col min="5284" max="5284" width="1.140625" style="1" customWidth="1"/>
    <col min="5285" max="5285" width="20.42578125" style="1" customWidth="1"/>
    <col min="5286" max="5294" width="7.5703125" style="1" customWidth="1"/>
    <col min="5295" max="5539" width="9.140625" style="1"/>
    <col min="5540" max="5540" width="1.140625" style="1" customWidth="1"/>
    <col min="5541" max="5541" width="20.42578125" style="1" customWidth="1"/>
    <col min="5542" max="5550" width="7.5703125" style="1" customWidth="1"/>
    <col min="5551" max="5795" width="9.140625" style="1"/>
    <col min="5796" max="5796" width="1.140625" style="1" customWidth="1"/>
    <col min="5797" max="5797" width="20.42578125" style="1" customWidth="1"/>
    <col min="5798" max="5806" width="7.5703125" style="1" customWidth="1"/>
    <col min="5807" max="6051" width="9.140625" style="1"/>
    <col min="6052" max="6052" width="1.140625" style="1" customWidth="1"/>
    <col min="6053" max="6053" width="20.42578125" style="1" customWidth="1"/>
    <col min="6054" max="6062" width="7.5703125" style="1" customWidth="1"/>
    <col min="6063" max="6307" width="9.140625" style="1"/>
    <col min="6308" max="6308" width="1.140625" style="1" customWidth="1"/>
    <col min="6309" max="6309" width="20.42578125" style="1" customWidth="1"/>
    <col min="6310" max="6318" width="7.5703125" style="1" customWidth="1"/>
    <col min="6319" max="6563" width="9.140625" style="1"/>
    <col min="6564" max="6564" width="1.140625" style="1" customWidth="1"/>
    <col min="6565" max="6565" width="20.42578125" style="1" customWidth="1"/>
    <col min="6566" max="6574" width="7.5703125" style="1" customWidth="1"/>
    <col min="6575" max="6819" width="9.140625" style="1"/>
    <col min="6820" max="6820" width="1.140625" style="1" customWidth="1"/>
    <col min="6821" max="6821" width="20.42578125" style="1" customWidth="1"/>
    <col min="6822" max="6830" width="7.5703125" style="1" customWidth="1"/>
    <col min="6831" max="7075" width="9.140625" style="1"/>
    <col min="7076" max="7076" width="1.140625" style="1" customWidth="1"/>
    <col min="7077" max="7077" width="20.42578125" style="1" customWidth="1"/>
    <col min="7078" max="7086" width="7.5703125" style="1" customWidth="1"/>
    <col min="7087" max="7331" width="9.140625" style="1"/>
    <col min="7332" max="7332" width="1.140625" style="1" customWidth="1"/>
    <col min="7333" max="7333" width="20.42578125" style="1" customWidth="1"/>
    <col min="7334" max="7342" width="7.5703125" style="1" customWidth="1"/>
    <col min="7343" max="7587" width="9.140625" style="1"/>
    <col min="7588" max="7588" width="1.140625" style="1" customWidth="1"/>
    <col min="7589" max="7589" width="20.42578125" style="1" customWidth="1"/>
    <col min="7590" max="7598" width="7.5703125" style="1" customWidth="1"/>
    <col min="7599" max="7843" width="9.140625" style="1"/>
    <col min="7844" max="7844" width="1.140625" style="1" customWidth="1"/>
    <col min="7845" max="7845" width="20.42578125" style="1" customWidth="1"/>
    <col min="7846" max="7854" width="7.5703125" style="1" customWidth="1"/>
    <col min="7855" max="8099" width="9.140625" style="1"/>
    <col min="8100" max="8100" width="1.140625" style="1" customWidth="1"/>
    <col min="8101" max="8101" width="20.42578125" style="1" customWidth="1"/>
    <col min="8102" max="8110" width="7.5703125" style="1" customWidth="1"/>
    <col min="8111" max="8355" width="9.140625" style="1"/>
    <col min="8356" max="8356" width="1.140625" style="1" customWidth="1"/>
    <col min="8357" max="8357" width="20.42578125" style="1" customWidth="1"/>
    <col min="8358" max="8366" width="7.5703125" style="1" customWidth="1"/>
    <col min="8367" max="8611" width="9.140625" style="1"/>
    <col min="8612" max="8612" width="1.140625" style="1" customWidth="1"/>
    <col min="8613" max="8613" width="20.42578125" style="1" customWidth="1"/>
    <col min="8614" max="8622" width="7.5703125" style="1" customWidth="1"/>
    <col min="8623" max="8867" width="9.140625" style="1"/>
    <col min="8868" max="8868" width="1.140625" style="1" customWidth="1"/>
    <col min="8869" max="8869" width="20.42578125" style="1" customWidth="1"/>
    <col min="8870" max="8878" width="7.5703125" style="1" customWidth="1"/>
    <col min="8879" max="9123" width="9.140625" style="1"/>
    <col min="9124" max="9124" width="1.140625" style="1" customWidth="1"/>
    <col min="9125" max="9125" width="20.42578125" style="1" customWidth="1"/>
    <col min="9126" max="9134" width="7.5703125" style="1" customWidth="1"/>
    <col min="9135" max="9379" width="9.140625" style="1"/>
    <col min="9380" max="9380" width="1.140625" style="1" customWidth="1"/>
    <col min="9381" max="9381" width="20.42578125" style="1" customWidth="1"/>
    <col min="9382" max="9390" width="7.5703125" style="1" customWidth="1"/>
    <col min="9391" max="9635" width="9.140625" style="1"/>
    <col min="9636" max="9636" width="1.140625" style="1" customWidth="1"/>
    <col min="9637" max="9637" width="20.42578125" style="1" customWidth="1"/>
    <col min="9638" max="9646" width="7.5703125" style="1" customWidth="1"/>
    <col min="9647" max="9891" width="9.140625" style="1"/>
    <col min="9892" max="9892" width="1.140625" style="1" customWidth="1"/>
    <col min="9893" max="9893" width="20.42578125" style="1" customWidth="1"/>
    <col min="9894" max="9902" width="7.5703125" style="1" customWidth="1"/>
    <col min="9903" max="10147" width="9.140625" style="1"/>
    <col min="10148" max="10148" width="1.140625" style="1" customWidth="1"/>
    <col min="10149" max="10149" width="20.42578125" style="1" customWidth="1"/>
    <col min="10150" max="10158" width="7.5703125" style="1" customWidth="1"/>
    <col min="10159" max="10403" width="9.140625" style="1"/>
    <col min="10404" max="10404" width="1.140625" style="1" customWidth="1"/>
    <col min="10405" max="10405" width="20.42578125" style="1" customWidth="1"/>
    <col min="10406" max="10414" width="7.5703125" style="1" customWidth="1"/>
    <col min="10415" max="10659" width="9.140625" style="1"/>
    <col min="10660" max="10660" width="1.140625" style="1" customWidth="1"/>
    <col min="10661" max="10661" width="20.42578125" style="1" customWidth="1"/>
    <col min="10662" max="10670" width="7.5703125" style="1" customWidth="1"/>
    <col min="10671" max="10915" width="9.140625" style="1"/>
    <col min="10916" max="10916" width="1.140625" style="1" customWidth="1"/>
    <col min="10917" max="10917" width="20.42578125" style="1" customWidth="1"/>
    <col min="10918" max="10926" width="7.5703125" style="1" customWidth="1"/>
    <col min="10927" max="11171" width="9.140625" style="1"/>
    <col min="11172" max="11172" width="1.140625" style="1" customWidth="1"/>
    <col min="11173" max="11173" width="20.42578125" style="1" customWidth="1"/>
    <col min="11174" max="11182" width="7.5703125" style="1" customWidth="1"/>
    <col min="11183" max="11427" width="9.140625" style="1"/>
    <col min="11428" max="11428" width="1.140625" style="1" customWidth="1"/>
    <col min="11429" max="11429" width="20.42578125" style="1" customWidth="1"/>
    <col min="11430" max="11438" width="7.5703125" style="1" customWidth="1"/>
    <col min="11439" max="11683" width="9.140625" style="1"/>
    <col min="11684" max="11684" width="1.140625" style="1" customWidth="1"/>
    <col min="11685" max="11685" width="20.42578125" style="1" customWidth="1"/>
    <col min="11686" max="11694" width="7.5703125" style="1" customWidth="1"/>
    <col min="11695" max="11939" width="9.140625" style="1"/>
    <col min="11940" max="11940" width="1.140625" style="1" customWidth="1"/>
    <col min="11941" max="11941" width="20.42578125" style="1" customWidth="1"/>
    <col min="11942" max="11950" width="7.5703125" style="1" customWidth="1"/>
    <col min="11951" max="12195" width="9.140625" style="1"/>
    <col min="12196" max="12196" width="1.140625" style="1" customWidth="1"/>
    <col min="12197" max="12197" width="20.42578125" style="1" customWidth="1"/>
    <col min="12198" max="12206" width="7.5703125" style="1" customWidth="1"/>
    <col min="12207" max="12451" width="9.140625" style="1"/>
    <col min="12452" max="12452" width="1.140625" style="1" customWidth="1"/>
    <col min="12453" max="12453" width="20.42578125" style="1" customWidth="1"/>
    <col min="12454" max="12462" width="7.5703125" style="1" customWidth="1"/>
    <col min="12463" max="12707" width="9.140625" style="1"/>
    <col min="12708" max="12708" width="1.140625" style="1" customWidth="1"/>
    <col min="12709" max="12709" width="20.42578125" style="1" customWidth="1"/>
    <col min="12710" max="12718" width="7.5703125" style="1" customWidth="1"/>
    <col min="12719" max="12963" width="9.140625" style="1"/>
    <col min="12964" max="12964" width="1.140625" style="1" customWidth="1"/>
    <col min="12965" max="12965" width="20.42578125" style="1" customWidth="1"/>
    <col min="12966" max="12974" width="7.5703125" style="1" customWidth="1"/>
    <col min="12975" max="13219" width="9.140625" style="1"/>
    <col min="13220" max="13220" width="1.140625" style="1" customWidth="1"/>
    <col min="13221" max="13221" width="20.42578125" style="1" customWidth="1"/>
    <col min="13222" max="13230" width="7.5703125" style="1" customWidth="1"/>
    <col min="13231" max="13475" width="9.140625" style="1"/>
    <col min="13476" max="13476" width="1.140625" style="1" customWidth="1"/>
    <col min="13477" max="13477" width="20.42578125" style="1" customWidth="1"/>
    <col min="13478" max="13486" width="7.5703125" style="1" customWidth="1"/>
    <col min="13487" max="13731" width="9.140625" style="1"/>
    <col min="13732" max="13732" width="1.140625" style="1" customWidth="1"/>
    <col min="13733" max="13733" width="20.42578125" style="1" customWidth="1"/>
    <col min="13734" max="13742" width="7.5703125" style="1" customWidth="1"/>
    <col min="13743" max="13987" width="9.140625" style="1"/>
    <col min="13988" max="13988" width="1.140625" style="1" customWidth="1"/>
    <col min="13989" max="13989" width="20.42578125" style="1" customWidth="1"/>
    <col min="13990" max="13998" width="7.5703125" style="1" customWidth="1"/>
    <col min="13999" max="14243" width="9.140625" style="1"/>
    <col min="14244" max="14244" width="1.140625" style="1" customWidth="1"/>
    <col min="14245" max="14245" width="20.42578125" style="1" customWidth="1"/>
    <col min="14246" max="14254" width="7.5703125" style="1" customWidth="1"/>
    <col min="14255" max="14499" width="9.140625" style="1"/>
    <col min="14500" max="14500" width="1.140625" style="1" customWidth="1"/>
    <col min="14501" max="14501" width="20.42578125" style="1" customWidth="1"/>
    <col min="14502" max="14510" width="7.5703125" style="1" customWidth="1"/>
    <col min="14511" max="14755" width="9.140625" style="1"/>
    <col min="14756" max="14756" width="1.140625" style="1" customWidth="1"/>
    <col min="14757" max="14757" width="20.42578125" style="1" customWidth="1"/>
    <col min="14758" max="14766" width="7.5703125" style="1" customWidth="1"/>
    <col min="14767" max="15011" width="9.140625" style="1"/>
    <col min="15012" max="15012" width="1.140625" style="1" customWidth="1"/>
    <col min="15013" max="15013" width="20.42578125" style="1" customWidth="1"/>
    <col min="15014" max="15022" width="7.5703125" style="1" customWidth="1"/>
    <col min="15023" max="15267" width="9.140625" style="1"/>
    <col min="15268" max="15268" width="1.140625" style="1" customWidth="1"/>
    <col min="15269" max="15269" width="20.42578125" style="1" customWidth="1"/>
    <col min="15270" max="15278" width="7.5703125" style="1" customWidth="1"/>
    <col min="15279" max="15523" width="9.140625" style="1"/>
    <col min="15524" max="15524" width="1.140625" style="1" customWidth="1"/>
    <col min="15525" max="15525" width="20.42578125" style="1" customWidth="1"/>
    <col min="15526" max="15534" width="7.5703125" style="1" customWidth="1"/>
    <col min="15535" max="15779" width="9.140625" style="1"/>
    <col min="15780" max="15780" width="1.140625" style="1" customWidth="1"/>
    <col min="15781" max="15781" width="20.42578125" style="1" customWidth="1"/>
    <col min="15782" max="15790" width="7.5703125" style="1" customWidth="1"/>
    <col min="15791" max="16035" width="9.140625" style="1"/>
    <col min="16036" max="16036" width="1.140625" style="1" customWidth="1"/>
    <col min="16037" max="16037" width="20.42578125" style="1" customWidth="1"/>
    <col min="16038" max="16046" width="7.5703125" style="1" customWidth="1"/>
    <col min="16047" max="16336" width="9.140625" style="1"/>
    <col min="16337" max="16384" width="9" style="1" customWidth="1"/>
  </cols>
  <sheetData>
    <row r="1" spans="2:11" ht="16.5" customHeight="1"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2:11" ht="24">
      <c r="B2" s="98" t="s">
        <v>42</v>
      </c>
      <c r="C2" s="98"/>
      <c r="D2" s="98"/>
      <c r="E2" s="98"/>
      <c r="F2" s="98"/>
      <c r="G2" s="98"/>
      <c r="H2" s="98"/>
      <c r="I2" s="98"/>
      <c r="J2" s="98"/>
      <c r="K2" s="98"/>
    </row>
    <row r="3" spans="2:11" ht="17.25">
      <c r="B3" s="99" t="s">
        <v>8</v>
      </c>
      <c r="C3" s="99"/>
      <c r="D3" s="99"/>
      <c r="E3" s="99"/>
      <c r="F3" s="99"/>
      <c r="G3" s="99"/>
      <c r="H3" s="99"/>
      <c r="I3" s="99"/>
      <c r="J3" s="99"/>
      <c r="K3" s="99"/>
    </row>
    <row r="4" spans="2:11" ht="30" customHeight="1">
      <c r="B4" s="102" t="s">
        <v>2</v>
      </c>
      <c r="C4" s="114" t="s">
        <v>26</v>
      </c>
      <c r="D4" s="114"/>
      <c r="E4" s="114"/>
      <c r="F4" s="114" t="s">
        <v>27</v>
      </c>
      <c r="G4" s="114"/>
      <c r="H4" s="114"/>
      <c r="I4" s="114" t="s">
        <v>1</v>
      </c>
      <c r="J4" s="114"/>
      <c r="K4" s="114"/>
    </row>
    <row r="5" spans="2:11" ht="30" customHeight="1">
      <c r="B5" s="102"/>
      <c r="C5" s="21" t="s">
        <v>0</v>
      </c>
      <c r="D5" s="21" t="s">
        <v>22</v>
      </c>
      <c r="E5" s="21" t="s">
        <v>23</v>
      </c>
      <c r="F5" s="21" t="s">
        <v>0</v>
      </c>
      <c r="G5" s="21" t="s">
        <v>22</v>
      </c>
      <c r="H5" s="21" t="s">
        <v>23</v>
      </c>
      <c r="I5" s="21" t="s">
        <v>0</v>
      </c>
      <c r="J5" s="21" t="s">
        <v>22</v>
      </c>
      <c r="K5" s="21" t="s">
        <v>23</v>
      </c>
    </row>
    <row r="6" spans="2:11" ht="30" customHeight="1" thickBot="1">
      <c r="B6" s="53" t="s">
        <v>15</v>
      </c>
      <c r="C6" s="88">
        <v>15</v>
      </c>
      <c r="D6" s="88">
        <v>765</v>
      </c>
      <c r="E6" s="41">
        <f>D6/C6</f>
        <v>51</v>
      </c>
      <c r="F6" s="88">
        <v>5</v>
      </c>
      <c r="G6" s="88">
        <v>250</v>
      </c>
      <c r="H6" s="41">
        <f>G6/F6</f>
        <v>50</v>
      </c>
      <c r="I6" s="88">
        <f>F6+C6</f>
        <v>20</v>
      </c>
      <c r="J6" s="88">
        <f>G6+D6</f>
        <v>1015</v>
      </c>
      <c r="K6" s="41">
        <f>J6/I6</f>
        <v>50.75</v>
      </c>
    </row>
    <row r="7" spans="2:11" ht="30" customHeight="1" thickTop="1" thickBot="1">
      <c r="B7" s="52" t="s">
        <v>5</v>
      </c>
      <c r="C7" s="46">
        <v>20</v>
      </c>
      <c r="D7" s="46">
        <v>360</v>
      </c>
      <c r="E7" s="36">
        <f t="shared" ref="E7:E14" si="0">D7/C7</f>
        <v>18</v>
      </c>
      <c r="F7" s="46">
        <v>30</v>
      </c>
      <c r="G7" s="46">
        <v>600</v>
      </c>
      <c r="H7" s="36">
        <f t="shared" ref="H7:H14" si="1">G7/F7</f>
        <v>20</v>
      </c>
      <c r="I7" s="46">
        <f t="shared" ref="I7:I13" si="2">F7+C7</f>
        <v>50</v>
      </c>
      <c r="J7" s="46">
        <f t="shared" ref="J7:J13" si="3">G7+D7</f>
        <v>960</v>
      </c>
      <c r="K7" s="36">
        <f t="shared" ref="K7:K14" si="4">J7/I7</f>
        <v>19.2</v>
      </c>
    </row>
    <row r="8" spans="2:11" ht="30" customHeight="1" thickTop="1" thickBot="1">
      <c r="B8" s="52" t="s">
        <v>9</v>
      </c>
      <c r="C8" s="46">
        <v>0</v>
      </c>
      <c r="D8" s="46">
        <v>0</v>
      </c>
      <c r="E8" s="36">
        <v>0</v>
      </c>
      <c r="F8" s="46">
        <v>1100</v>
      </c>
      <c r="G8" s="46">
        <v>24200</v>
      </c>
      <c r="H8" s="36">
        <f t="shared" si="1"/>
        <v>22</v>
      </c>
      <c r="I8" s="46">
        <f t="shared" si="2"/>
        <v>1100</v>
      </c>
      <c r="J8" s="46">
        <f t="shared" si="3"/>
        <v>24200</v>
      </c>
      <c r="K8" s="36">
        <f t="shared" si="4"/>
        <v>22</v>
      </c>
    </row>
    <row r="9" spans="2:11" ht="30" customHeight="1" thickTop="1" thickBot="1">
      <c r="B9" s="52" t="s">
        <v>14</v>
      </c>
      <c r="C9" s="46">
        <v>90</v>
      </c>
      <c r="D9" s="46">
        <v>3330</v>
      </c>
      <c r="E9" s="36">
        <f t="shared" si="0"/>
        <v>37</v>
      </c>
      <c r="F9" s="46">
        <v>30</v>
      </c>
      <c r="G9" s="46">
        <v>1080</v>
      </c>
      <c r="H9" s="36">
        <f t="shared" si="1"/>
        <v>36</v>
      </c>
      <c r="I9" s="46">
        <f t="shared" si="2"/>
        <v>120</v>
      </c>
      <c r="J9" s="46">
        <f t="shared" si="3"/>
        <v>4410</v>
      </c>
      <c r="K9" s="36">
        <f t="shared" si="4"/>
        <v>36.75</v>
      </c>
    </row>
    <row r="10" spans="2:11" ht="30" customHeight="1" thickTop="1" thickBot="1">
      <c r="B10" s="52" t="s">
        <v>18</v>
      </c>
      <c r="C10" s="46">
        <v>0</v>
      </c>
      <c r="D10" s="46">
        <v>0</v>
      </c>
      <c r="E10" s="36">
        <v>0</v>
      </c>
      <c r="F10" s="46">
        <v>30</v>
      </c>
      <c r="G10" s="46">
        <v>900</v>
      </c>
      <c r="H10" s="36">
        <f t="shared" si="1"/>
        <v>30</v>
      </c>
      <c r="I10" s="46">
        <f t="shared" si="2"/>
        <v>30</v>
      </c>
      <c r="J10" s="46">
        <f t="shared" si="3"/>
        <v>900</v>
      </c>
      <c r="K10" s="36">
        <f t="shared" si="4"/>
        <v>30</v>
      </c>
    </row>
    <row r="11" spans="2:11" ht="30" customHeight="1" thickTop="1" thickBot="1">
      <c r="B11" s="52" t="s">
        <v>7</v>
      </c>
      <c r="C11" s="46">
        <v>90</v>
      </c>
      <c r="D11" s="46">
        <v>2610</v>
      </c>
      <c r="E11" s="36">
        <f t="shared" si="0"/>
        <v>29</v>
      </c>
      <c r="F11" s="46">
        <v>0</v>
      </c>
      <c r="G11" s="46">
        <v>0</v>
      </c>
      <c r="H11" s="36">
        <v>0</v>
      </c>
      <c r="I11" s="46">
        <f t="shared" si="2"/>
        <v>90</v>
      </c>
      <c r="J11" s="46">
        <f t="shared" si="3"/>
        <v>2610</v>
      </c>
      <c r="K11" s="36">
        <f t="shared" si="4"/>
        <v>29</v>
      </c>
    </row>
    <row r="12" spans="2:11" ht="30" customHeight="1" thickTop="1" thickBot="1">
      <c r="B12" s="52" t="s">
        <v>16</v>
      </c>
      <c r="C12" s="46">
        <v>0</v>
      </c>
      <c r="D12" s="46">
        <v>0</v>
      </c>
      <c r="E12" s="36">
        <v>0</v>
      </c>
      <c r="F12" s="46">
        <v>170</v>
      </c>
      <c r="G12" s="46">
        <v>1700</v>
      </c>
      <c r="H12" s="36">
        <f t="shared" si="1"/>
        <v>10</v>
      </c>
      <c r="I12" s="46">
        <f t="shared" si="2"/>
        <v>170</v>
      </c>
      <c r="J12" s="46">
        <f t="shared" si="3"/>
        <v>1700</v>
      </c>
      <c r="K12" s="36">
        <f t="shared" si="4"/>
        <v>10</v>
      </c>
    </row>
    <row r="13" spans="2:11" ht="30" customHeight="1" thickTop="1">
      <c r="B13" s="55" t="s">
        <v>21</v>
      </c>
      <c r="C13" s="94">
        <v>0</v>
      </c>
      <c r="D13" s="94">
        <v>0</v>
      </c>
      <c r="E13" s="74">
        <v>0</v>
      </c>
      <c r="F13" s="94">
        <v>40</v>
      </c>
      <c r="G13" s="94">
        <v>1000</v>
      </c>
      <c r="H13" s="74">
        <f t="shared" si="1"/>
        <v>25</v>
      </c>
      <c r="I13" s="94">
        <f t="shared" si="2"/>
        <v>40</v>
      </c>
      <c r="J13" s="94">
        <f t="shared" si="3"/>
        <v>1000</v>
      </c>
      <c r="K13" s="74">
        <f t="shared" si="4"/>
        <v>25</v>
      </c>
    </row>
    <row r="14" spans="2:11" ht="30" customHeight="1">
      <c r="B14" s="62" t="s">
        <v>13</v>
      </c>
      <c r="C14" s="97">
        <f>SUM(C6:C13)</f>
        <v>215</v>
      </c>
      <c r="D14" s="97">
        <f>SUM(D6:D13)</f>
        <v>7065</v>
      </c>
      <c r="E14" s="75">
        <f t="shared" si="0"/>
        <v>32.860465116279073</v>
      </c>
      <c r="F14" s="97">
        <f>SUM(F6:F13)</f>
        <v>1405</v>
      </c>
      <c r="G14" s="97">
        <f>SUM(G6:G13)</f>
        <v>29730</v>
      </c>
      <c r="H14" s="75">
        <f t="shared" si="1"/>
        <v>21.160142348754448</v>
      </c>
      <c r="I14" s="97">
        <f>SUM(I6:I13)</f>
        <v>1620</v>
      </c>
      <c r="J14" s="97">
        <f>SUM(J6:J13)</f>
        <v>36795</v>
      </c>
      <c r="K14" s="75">
        <f t="shared" si="4"/>
        <v>22.712962962962962</v>
      </c>
    </row>
    <row r="15" spans="2:11" ht="19.5"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8" spans="2:2">
      <c r="B18" s="4" t="s">
        <v>19</v>
      </c>
    </row>
  </sheetData>
  <mergeCells count="7">
    <mergeCell ref="B1:K1"/>
    <mergeCell ref="B2:K2"/>
    <mergeCell ref="B3:K3"/>
    <mergeCell ref="B4:B5"/>
    <mergeCell ref="C4:E4"/>
    <mergeCell ref="F4:H4"/>
    <mergeCell ref="I4:K4"/>
  </mergeCells>
  <pageMargins left="0.70866141732283472" right="0.70866141732283472" top="0.74803149606299213" bottom="0.74803149606299213" header="0.31496062992125984" footer="0.31496062992125984"/>
  <pageSetup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7"/>
  <sheetViews>
    <sheetView rightToLeft="1" zoomScaleNormal="100" workbookViewId="0">
      <selection activeCell="A4" sqref="A4:XFD13"/>
    </sheetView>
  </sheetViews>
  <sheetFormatPr defaultRowHeight="15"/>
  <cols>
    <col min="1" max="1" width="1.140625" style="1" customWidth="1"/>
    <col min="2" max="2" width="19.7109375" style="1" customWidth="1"/>
    <col min="3" max="3" width="9.28515625" style="1" customWidth="1"/>
    <col min="4" max="4" width="8.28515625" style="1" customWidth="1"/>
    <col min="5" max="5" width="9.28515625" style="1" customWidth="1"/>
    <col min="6" max="6" width="9.140625" style="1" customWidth="1"/>
    <col min="7" max="7" width="10.5703125" style="1" customWidth="1"/>
    <col min="8" max="8" width="9.85546875" style="1" customWidth="1"/>
    <col min="9" max="9" width="9.5703125" style="1" customWidth="1"/>
    <col min="10" max="10" width="11" style="1" customWidth="1"/>
    <col min="11" max="11" width="10.140625" style="1" customWidth="1"/>
    <col min="12" max="163" width="9.140625" style="1"/>
    <col min="164" max="164" width="1.140625" style="1" customWidth="1"/>
    <col min="165" max="165" width="20.42578125" style="1" customWidth="1"/>
    <col min="166" max="174" width="7.5703125" style="1" customWidth="1"/>
    <col min="175" max="419" width="9.140625" style="1"/>
    <col min="420" max="420" width="1.140625" style="1" customWidth="1"/>
    <col min="421" max="421" width="20.42578125" style="1" customWidth="1"/>
    <col min="422" max="430" width="7.5703125" style="1" customWidth="1"/>
    <col min="431" max="675" width="9.140625" style="1"/>
    <col min="676" max="676" width="1.140625" style="1" customWidth="1"/>
    <col min="677" max="677" width="20.42578125" style="1" customWidth="1"/>
    <col min="678" max="686" width="7.5703125" style="1" customWidth="1"/>
    <col min="687" max="931" width="9.140625" style="1"/>
    <col min="932" max="932" width="1.140625" style="1" customWidth="1"/>
    <col min="933" max="933" width="20.42578125" style="1" customWidth="1"/>
    <col min="934" max="942" width="7.5703125" style="1" customWidth="1"/>
    <col min="943" max="1187" width="9.140625" style="1"/>
    <col min="1188" max="1188" width="1.140625" style="1" customWidth="1"/>
    <col min="1189" max="1189" width="20.42578125" style="1" customWidth="1"/>
    <col min="1190" max="1198" width="7.5703125" style="1" customWidth="1"/>
    <col min="1199" max="1443" width="9.140625" style="1"/>
    <col min="1444" max="1444" width="1.140625" style="1" customWidth="1"/>
    <col min="1445" max="1445" width="20.42578125" style="1" customWidth="1"/>
    <col min="1446" max="1454" width="7.5703125" style="1" customWidth="1"/>
    <col min="1455" max="1699" width="9.140625" style="1"/>
    <col min="1700" max="1700" width="1.140625" style="1" customWidth="1"/>
    <col min="1701" max="1701" width="20.42578125" style="1" customWidth="1"/>
    <col min="1702" max="1710" width="7.5703125" style="1" customWidth="1"/>
    <col min="1711" max="1955" width="9.140625" style="1"/>
    <col min="1956" max="1956" width="1.140625" style="1" customWidth="1"/>
    <col min="1957" max="1957" width="20.42578125" style="1" customWidth="1"/>
    <col min="1958" max="1966" width="7.5703125" style="1" customWidth="1"/>
    <col min="1967" max="2211" width="9.140625" style="1"/>
    <col min="2212" max="2212" width="1.140625" style="1" customWidth="1"/>
    <col min="2213" max="2213" width="20.42578125" style="1" customWidth="1"/>
    <col min="2214" max="2222" width="7.5703125" style="1" customWidth="1"/>
    <col min="2223" max="2467" width="9.140625" style="1"/>
    <col min="2468" max="2468" width="1.140625" style="1" customWidth="1"/>
    <col min="2469" max="2469" width="20.42578125" style="1" customWidth="1"/>
    <col min="2470" max="2478" width="7.5703125" style="1" customWidth="1"/>
    <col min="2479" max="2723" width="9.140625" style="1"/>
    <col min="2724" max="2724" width="1.140625" style="1" customWidth="1"/>
    <col min="2725" max="2725" width="20.42578125" style="1" customWidth="1"/>
    <col min="2726" max="2734" width="7.5703125" style="1" customWidth="1"/>
    <col min="2735" max="2979" width="9.140625" style="1"/>
    <col min="2980" max="2980" width="1.140625" style="1" customWidth="1"/>
    <col min="2981" max="2981" width="20.42578125" style="1" customWidth="1"/>
    <col min="2982" max="2990" width="7.5703125" style="1" customWidth="1"/>
    <col min="2991" max="3235" width="9.140625" style="1"/>
    <col min="3236" max="3236" width="1.140625" style="1" customWidth="1"/>
    <col min="3237" max="3237" width="20.42578125" style="1" customWidth="1"/>
    <col min="3238" max="3246" width="7.5703125" style="1" customWidth="1"/>
    <col min="3247" max="3491" width="9.140625" style="1"/>
    <col min="3492" max="3492" width="1.140625" style="1" customWidth="1"/>
    <col min="3493" max="3493" width="20.42578125" style="1" customWidth="1"/>
    <col min="3494" max="3502" width="7.5703125" style="1" customWidth="1"/>
    <col min="3503" max="3747" width="9.140625" style="1"/>
    <col min="3748" max="3748" width="1.140625" style="1" customWidth="1"/>
    <col min="3749" max="3749" width="20.42578125" style="1" customWidth="1"/>
    <col min="3750" max="3758" width="7.5703125" style="1" customWidth="1"/>
    <col min="3759" max="4003" width="9.140625" style="1"/>
    <col min="4004" max="4004" width="1.140625" style="1" customWidth="1"/>
    <col min="4005" max="4005" width="20.42578125" style="1" customWidth="1"/>
    <col min="4006" max="4014" width="7.5703125" style="1" customWidth="1"/>
    <col min="4015" max="4259" width="9.140625" style="1"/>
    <col min="4260" max="4260" width="1.140625" style="1" customWidth="1"/>
    <col min="4261" max="4261" width="20.42578125" style="1" customWidth="1"/>
    <col min="4262" max="4270" width="7.5703125" style="1" customWidth="1"/>
    <col min="4271" max="4515" width="9.140625" style="1"/>
    <col min="4516" max="4516" width="1.140625" style="1" customWidth="1"/>
    <col min="4517" max="4517" width="20.42578125" style="1" customWidth="1"/>
    <col min="4518" max="4526" width="7.5703125" style="1" customWidth="1"/>
    <col min="4527" max="4771" width="9.140625" style="1"/>
    <col min="4772" max="4772" width="1.140625" style="1" customWidth="1"/>
    <col min="4773" max="4773" width="20.42578125" style="1" customWidth="1"/>
    <col min="4774" max="4782" width="7.5703125" style="1" customWidth="1"/>
    <col min="4783" max="5027" width="9.140625" style="1"/>
    <col min="5028" max="5028" width="1.140625" style="1" customWidth="1"/>
    <col min="5029" max="5029" width="20.42578125" style="1" customWidth="1"/>
    <col min="5030" max="5038" width="7.5703125" style="1" customWidth="1"/>
    <col min="5039" max="5283" width="9.140625" style="1"/>
    <col min="5284" max="5284" width="1.140625" style="1" customWidth="1"/>
    <col min="5285" max="5285" width="20.42578125" style="1" customWidth="1"/>
    <col min="5286" max="5294" width="7.5703125" style="1" customWidth="1"/>
    <col min="5295" max="5539" width="9.140625" style="1"/>
    <col min="5540" max="5540" width="1.140625" style="1" customWidth="1"/>
    <col min="5541" max="5541" width="20.42578125" style="1" customWidth="1"/>
    <col min="5542" max="5550" width="7.5703125" style="1" customWidth="1"/>
    <col min="5551" max="5795" width="9.140625" style="1"/>
    <col min="5796" max="5796" width="1.140625" style="1" customWidth="1"/>
    <col min="5797" max="5797" width="20.42578125" style="1" customWidth="1"/>
    <col min="5798" max="5806" width="7.5703125" style="1" customWidth="1"/>
    <col min="5807" max="6051" width="9.140625" style="1"/>
    <col min="6052" max="6052" width="1.140625" style="1" customWidth="1"/>
    <col min="6053" max="6053" width="20.42578125" style="1" customWidth="1"/>
    <col min="6054" max="6062" width="7.5703125" style="1" customWidth="1"/>
    <col min="6063" max="6307" width="9.140625" style="1"/>
    <col min="6308" max="6308" width="1.140625" style="1" customWidth="1"/>
    <col min="6309" max="6309" width="20.42578125" style="1" customWidth="1"/>
    <col min="6310" max="6318" width="7.5703125" style="1" customWidth="1"/>
    <col min="6319" max="6563" width="9.140625" style="1"/>
    <col min="6564" max="6564" width="1.140625" style="1" customWidth="1"/>
    <col min="6565" max="6565" width="20.42578125" style="1" customWidth="1"/>
    <col min="6566" max="6574" width="7.5703125" style="1" customWidth="1"/>
    <col min="6575" max="6819" width="9.140625" style="1"/>
    <col min="6820" max="6820" width="1.140625" style="1" customWidth="1"/>
    <col min="6821" max="6821" width="20.42578125" style="1" customWidth="1"/>
    <col min="6822" max="6830" width="7.5703125" style="1" customWidth="1"/>
    <col min="6831" max="7075" width="9.140625" style="1"/>
    <col min="7076" max="7076" width="1.140625" style="1" customWidth="1"/>
    <col min="7077" max="7077" width="20.42578125" style="1" customWidth="1"/>
    <col min="7078" max="7086" width="7.5703125" style="1" customWidth="1"/>
    <col min="7087" max="7331" width="9.140625" style="1"/>
    <col min="7332" max="7332" width="1.140625" style="1" customWidth="1"/>
    <col min="7333" max="7333" width="20.42578125" style="1" customWidth="1"/>
    <col min="7334" max="7342" width="7.5703125" style="1" customWidth="1"/>
    <col min="7343" max="7587" width="9.140625" style="1"/>
    <col min="7588" max="7588" width="1.140625" style="1" customWidth="1"/>
    <col min="7589" max="7589" width="20.42578125" style="1" customWidth="1"/>
    <col min="7590" max="7598" width="7.5703125" style="1" customWidth="1"/>
    <col min="7599" max="7843" width="9.140625" style="1"/>
    <col min="7844" max="7844" width="1.140625" style="1" customWidth="1"/>
    <col min="7845" max="7845" width="20.42578125" style="1" customWidth="1"/>
    <col min="7846" max="7854" width="7.5703125" style="1" customWidth="1"/>
    <col min="7855" max="8099" width="9.140625" style="1"/>
    <col min="8100" max="8100" width="1.140625" style="1" customWidth="1"/>
    <col min="8101" max="8101" width="20.42578125" style="1" customWidth="1"/>
    <col min="8102" max="8110" width="7.5703125" style="1" customWidth="1"/>
    <col min="8111" max="8355" width="9.140625" style="1"/>
    <col min="8356" max="8356" width="1.140625" style="1" customWidth="1"/>
    <col min="8357" max="8357" width="20.42578125" style="1" customWidth="1"/>
    <col min="8358" max="8366" width="7.5703125" style="1" customWidth="1"/>
    <col min="8367" max="8611" width="9.140625" style="1"/>
    <col min="8612" max="8612" width="1.140625" style="1" customWidth="1"/>
    <col min="8613" max="8613" width="20.42578125" style="1" customWidth="1"/>
    <col min="8614" max="8622" width="7.5703125" style="1" customWidth="1"/>
    <col min="8623" max="8867" width="9.140625" style="1"/>
    <col min="8868" max="8868" width="1.140625" style="1" customWidth="1"/>
    <col min="8869" max="8869" width="20.42578125" style="1" customWidth="1"/>
    <col min="8870" max="8878" width="7.5703125" style="1" customWidth="1"/>
    <col min="8879" max="9123" width="9.140625" style="1"/>
    <col min="9124" max="9124" width="1.140625" style="1" customWidth="1"/>
    <col min="9125" max="9125" width="20.42578125" style="1" customWidth="1"/>
    <col min="9126" max="9134" width="7.5703125" style="1" customWidth="1"/>
    <col min="9135" max="9379" width="9.140625" style="1"/>
    <col min="9380" max="9380" width="1.140625" style="1" customWidth="1"/>
    <col min="9381" max="9381" width="20.42578125" style="1" customWidth="1"/>
    <col min="9382" max="9390" width="7.5703125" style="1" customWidth="1"/>
    <col min="9391" max="9635" width="9.140625" style="1"/>
    <col min="9636" max="9636" width="1.140625" style="1" customWidth="1"/>
    <col min="9637" max="9637" width="20.42578125" style="1" customWidth="1"/>
    <col min="9638" max="9646" width="7.5703125" style="1" customWidth="1"/>
    <col min="9647" max="9891" width="9.140625" style="1"/>
    <col min="9892" max="9892" width="1.140625" style="1" customWidth="1"/>
    <col min="9893" max="9893" width="20.42578125" style="1" customWidth="1"/>
    <col min="9894" max="9902" width="7.5703125" style="1" customWidth="1"/>
    <col min="9903" max="10147" width="9.140625" style="1"/>
    <col min="10148" max="10148" width="1.140625" style="1" customWidth="1"/>
    <col min="10149" max="10149" width="20.42578125" style="1" customWidth="1"/>
    <col min="10150" max="10158" width="7.5703125" style="1" customWidth="1"/>
    <col min="10159" max="10403" width="9.140625" style="1"/>
    <col min="10404" max="10404" width="1.140625" style="1" customWidth="1"/>
    <col min="10405" max="10405" width="20.42578125" style="1" customWidth="1"/>
    <col min="10406" max="10414" width="7.5703125" style="1" customWidth="1"/>
    <col min="10415" max="10659" width="9.140625" style="1"/>
    <col min="10660" max="10660" width="1.140625" style="1" customWidth="1"/>
    <col min="10661" max="10661" width="20.42578125" style="1" customWidth="1"/>
    <col min="10662" max="10670" width="7.5703125" style="1" customWidth="1"/>
    <col min="10671" max="10915" width="9.140625" style="1"/>
    <col min="10916" max="10916" width="1.140625" style="1" customWidth="1"/>
    <col min="10917" max="10917" width="20.42578125" style="1" customWidth="1"/>
    <col min="10918" max="10926" width="7.5703125" style="1" customWidth="1"/>
    <col min="10927" max="11171" width="9.140625" style="1"/>
    <col min="11172" max="11172" width="1.140625" style="1" customWidth="1"/>
    <col min="11173" max="11173" width="20.42578125" style="1" customWidth="1"/>
    <col min="11174" max="11182" width="7.5703125" style="1" customWidth="1"/>
    <col min="11183" max="11427" width="9.140625" style="1"/>
    <col min="11428" max="11428" width="1.140625" style="1" customWidth="1"/>
    <col min="11429" max="11429" width="20.42578125" style="1" customWidth="1"/>
    <col min="11430" max="11438" width="7.5703125" style="1" customWidth="1"/>
    <col min="11439" max="11683" width="9.140625" style="1"/>
    <col min="11684" max="11684" width="1.140625" style="1" customWidth="1"/>
    <col min="11685" max="11685" width="20.42578125" style="1" customWidth="1"/>
    <col min="11686" max="11694" width="7.5703125" style="1" customWidth="1"/>
    <col min="11695" max="11939" width="9.140625" style="1"/>
    <col min="11940" max="11940" width="1.140625" style="1" customWidth="1"/>
    <col min="11941" max="11941" width="20.42578125" style="1" customWidth="1"/>
    <col min="11942" max="11950" width="7.5703125" style="1" customWidth="1"/>
    <col min="11951" max="12195" width="9.140625" style="1"/>
    <col min="12196" max="12196" width="1.140625" style="1" customWidth="1"/>
    <col min="12197" max="12197" width="20.42578125" style="1" customWidth="1"/>
    <col min="12198" max="12206" width="7.5703125" style="1" customWidth="1"/>
    <col min="12207" max="12451" width="9.140625" style="1"/>
    <col min="12452" max="12452" width="1.140625" style="1" customWidth="1"/>
    <col min="12453" max="12453" width="20.42578125" style="1" customWidth="1"/>
    <col min="12454" max="12462" width="7.5703125" style="1" customWidth="1"/>
    <col min="12463" max="12707" width="9.140625" style="1"/>
    <col min="12708" max="12708" width="1.140625" style="1" customWidth="1"/>
    <col min="12709" max="12709" width="20.42578125" style="1" customWidth="1"/>
    <col min="12710" max="12718" width="7.5703125" style="1" customWidth="1"/>
    <col min="12719" max="12963" width="9.140625" style="1"/>
    <col min="12964" max="12964" width="1.140625" style="1" customWidth="1"/>
    <col min="12965" max="12965" width="20.42578125" style="1" customWidth="1"/>
    <col min="12966" max="12974" width="7.5703125" style="1" customWidth="1"/>
    <col min="12975" max="13219" width="9.140625" style="1"/>
    <col min="13220" max="13220" width="1.140625" style="1" customWidth="1"/>
    <col min="13221" max="13221" width="20.42578125" style="1" customWidth="1"/>
    <col min="13222" max="13230" width="7.5703125" style="1" customWidth="1"/>
    <col min="13231" max="13475" width="9.140625" style="1"/>
    <col min="13476" max="13476" width="1.140625" style="1" customWidth="1"/>
    <col min="13477" max="13477" width="20.42578125" style="1" customWidth="1"/>
    <col min="13478" max="13486" width="7.5703125" style="1" customWidth="1"/>
    <col min="13487" max="13731" width="9.140625" style="1"/>
    <col min="13732" max="13732" width="1.140625" style="1" customWidth="1"/>
    <col min="13733" max="13733" width="20.42578125" style="1" customWidth="1"/>
    <col min="13734" max="13742" width="7.5703125" style="1" customWidth="1"/>
    <col min="13743" max="13987" width="9.140625" style="1"/>
    <col min="13988" max="13988" width="1.140625" style="1" customWidth="1"/>
    <col min="13989" max="13989" width="20.42578125" style="1" customWidth="1"/>
    <col min="13990" max="13998" width="7.5703125" style="1" customWidth="1"/>
    <col min="13999" max="14243" width="9.140625" style="1"/>
    <col min="14244" max="14244" width="1.140625" style="1" customWidth="1"/>
    <col min="14245" max="14245" width="20.42578125" style="1" customWidth="1"/>
    <col min="14246" max="14254" width="7.5703125" style="1" customWidth="1"/>
    <col min="14255" max="14499" width="9.140625" style="1"/>
    <col min="14500" max="14500" width="1.140625" style="1" customWidth="1"/>
    <col min="14501" max="14501" width="20.42578125" style="1" customWidth="1"/>
    <col min="14502" max="14510" width="7.5703125" style="1" customWidth="1"/>
    <col min="14511" max="14755" width="9.140625" style="1"/>
    <col min="14756" max="14756" width="1.140625" style="1" customWidth="1"/>
    <col min="14757" max="14757" width="20.42578125" style="1" customWidth="1"/>
    <col min="14758" max="14766" width="7.5703125" style="1" customWidth="1"/>
    <col min="14767" max="15011" width="9.140625" style="1"/>
    <col min="15012" max="15012" width="1.140625" style="1" customWidth="1"/>
    <col min="15013" max="15013" width="20.42578125" style="1" customWidth="1"/>
    <col min="15014" max="15022" width="7.5703125" style="1" customWidth="1"/>
    <col min="15023" max="15267" width="9.140625" style="1"/>
    <col min="15268" max="15268" width="1.140625" style="1" customWidth="1"/>
    <col min="15269" max="15269" width="20.42578125" style="1" customWidth="1"/>
    <col min="15270" max="15278" width="7.5703125" style="1" customWidth="1"/>
    <col min="15279" max="15523" width="9.140625" style="1"/>
    <col min="15524" max="15524" width="1.140625" style="1" customWidth="1"/>
    <col min="15525" max="15525" width="20.42578125" style="1" customWidth="1"/>
    <col min="15526" max="15534" width="7.5703125" style="1" customWidth="1"/>
    <col min="15535" max="15779" width="9.140625" style="1"/>
    <col min="15780" max="15780" width="1.140625" style="1" customWidth="1"/>
    <col min="15781" max="15781" width="20.42578125" style="1" customWidth="1"/>
    <col min="15782" max="15790" width="7.5703125" style="1" customWidth="1"/>
    <col min="15791" max="16035" width="9.140625" style="1"/>
    <col min="16036" max="16036" width="1.140625" style="1" customWidth="1"/>
    <col min="16037" max="16037" width="20.42578125" style="1" customWidth="1"/>
    <col min="16038" max="16046" width="7.5703125" style="1" customWidth="1"/>
    <col min="16047" max="16336" width="9.140625" style="1"/>
    <col min="16337" max="16384" width="9" style="1" customWidth="1"/>
  </cols>
  <sheetData>
    <row r="1" spans="2:11" ht="9.75" customHeight="1"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2:11" ht="21">
      <c r="B2" s="113" t="s">
        <v>43</v>
      </c>
      <c r="C2" s="113"/>
      <c r="D2" s="113"/>
      <c r="E2" s="113"/>
      <c r="F2" s="113"/>
      <c r="G2" s="113"/>
      <c r="H2" s="113"/>
      <c r="I2" s="113"/>
      <c r="J2" s="113"/>
      <c r="K2" s="113"/>
    </row>
    <row r="3" spans="2:11" ht="17.25">
      <c r="B3" s="99" t="s">
        <v>8</v>
      </c>
      <c r="C3" s="99"/>
      <c r="D3" s="99"/>
      <c r="E3" s="99"/>
      <c r="F3" s="99"/>
      <c r="G3" s="99"/>
      <c r="H3" s="99"/>
      <c r="I3" s="99"/>
      <c r="J3" s="99"/>
      <c r="K3" s="99"/>
    </row>
    <row r="4" spans="2:11" ht="30" customHeight="1">
      <c r="B4" s="114" t="s">
        <v>2</v>
      </c>
      <c r="C4" s="114" t="s">
        <v>26</v>
      </c>
      <c r="D4" s="114"/>
      <c r="E4" s="114"/>
      <c r="F4" s="114" t="s">
        <v>27</v>
      </c>
      <c r="G4" s="114"/>
      <c r="H4" s="114"/>
      <c r="I4" s="114" t="s">
        <v>1</v>
      </c>
      <c r="J4" s="114"/>
      <c r="K4" s="114"/>
    </row>
    <row r="5" spans="2:11" ht="30" customHeight="1">
      <c r="B5" s="114"/>
      <c r="C5" s="21" t="s">
        <v>0</v>
      </c>
      <c r="D5" s="21" t="s">
        <v>22</v>
      </c>
      <c r="E5" s="21" t="s">
        <v>23</v>
      </c>
      <c r="F5" s="21" t="s">
        <v>0</v>
      </c>
      <c r="G5" s="21" t="s">
        <v>22</v>
      </c>
      <c r="H5" s="21" t="s">
        <v>23</v>
      </c>
      <c r="I5" s="21" t="s">
        <v>0</v>
      </c>
      <c r="J5" s="21" t="s">
        <v>22</v>
      </c>
      <c r="K5" s="21" t="s">
        <v>23</v>
      </c>
    </row>
    <row r="6" spans="2:11" ht="30" customHeight="1" thickBot="1">
      <c r="B6" s="16" t="s">
        <v>6</v>
      </c>
      <c r="C6" s="91">
        <v>0</v>
      </c>
      <c r="D6" s="91">
        <v>0</v>
      </c>
      <c r="E6" s="91">
        <v>0</v>
      </c>
      <c r="F6" s="88">
        <v>70</v>
      </c>
      <c r="G6" s="88">
        <v>910</v>
      </c>
      <c r="H6" s="41">
        <f>G6/F6</f>
        <v>13</v>
      </c>
      <c r="I6" s="88">
        <f>F6+C6</f>
        <v>70</v>
      </c>
      <c r="J6" s="88">
        <f>G6+D6</f>
        <v>910</v>
      </c>
      <c r="K6" s="41">
        <f>J6/I6</f>
        <v>13</v>
      </c>
    </row>
    <row r="7" spans="2:11" ht="30" customHeight="1" thickTop="1" thickBot="1">
      <c r="B7" s="2" t="s">
        <v>15</v>
      </c>
      <c r="C7" s="3">
        <v>0</v>
      </c>
      <c r="D7" s="3">
        <v>0</v>
      </c>
      <c r="E7" s="3">
        <v>0</v>
      </c>
      <c r="F7" s="46">
        <v>50</v>
      </c>
      <c r="G7" s="46">
        <v>800</v>
      </c>
      <c r="H7" s="36">
        <f>G7/F7</f>
        <v>16</v>
      </c>
      <c r="I7" s="46">
        <f t="shared" ref="I7:I12" si="0">F7+C7</f>
        <v>50</v>
      </c>
      <c r="J7" s="46">
        <f t="shared" ref="J7:J12" si="1">G7+D7</f>
        <v>800</v>
      </c>
      <c r="K7" s="36">
        <f t="shared" ref="K7:K12" si="2">J7/I7</f>
        <v>16</v>
      </c>
    </row>
    <row r="8" spans="2:11" ht="30" customHeight="1" thickTop="1" thickBot="1">
      <c r="B8" s="2" t="s">
        <v>5</v>
      </c>
      <c r="C8" s="3">
        <v>0</v>
      </c>
      <c r="D8" s="3">
        <v>0</v>
      </c>
      <c r="E8" s="3">
        <v>0</v>
      </c>
      <c r="F8" s="46">
        <v>20</v>
      </c>
      <c r="G8" s="46">
        <v>260</v>
      </c>
      <c r="H8" s="36">
        <f t="shared" ref="H8:H11" si="3">G8/F8</f>
        <v>13</v>
      </c>
      <c r="I8" s="46">
        <f t="shared" si="0"/>
        <v>20</v>
      </c>
      <c r="J8" s="46">
        <f t="shared" si="1"/>
        <v>260</v>
      </c>
      <c r="K8" s="36">
        <f t="shared" si="2"/>
        <v>13</v>
      </c>
    </row>
    <row r="9" spans="2:11" ht="30" customHeight="1" thickTop="1" thickBot="1">
      <c r="B9" s="2" t="s">
        <v>14</v>
      </c>
      <c r="C9" s="3">
        <v>0</v>
      </c>
      <c r="D9" s="3">
        <v>0</v>
      </c>
      <c r="E9" s="3">
        <v>0</v>
      </c>
      <c r="F9" s="46">
        <v>80</v>
      </c>
      <c r="G9" s="46">
        <v>800</v>
      </c>
      <c r="H9" s="36">
        <f t="shared" si="3"/>
        <v>10</v>
      </c>
      <c r="I9" s="46">
        <f t="shared" si="0"/>
        <v>80</v>
      </c>
      <c r="J9" s="46">
        <f t="shared" si="1"/>
        <v>800</v>
      </c>
      <c r="K9" s="36">
        <f>J9/I9</f>
        <v>10</v>
      </c>
    </row>
    <row r="10" spans="2:11" ht="30" customHeight="1" thickTop="1" thickBot="1">
      <c r="B10" s="2" t="s">
        <v>3</v>
      </c>
      <c r="C10" s="3">
        <v>0</v>
      </c>
      <c r="D10" s="3">
        <v>0</v>
      </c>
      <c r="E10" s="3">
        <v>0</v>
      </c>
      <c r="F10" s="46">
        <v>190</v>
      </c>
      <c r="G10" s="46">
        <v>3040</v>
      </c>
      <c r="H10" s="36">
        <f t="shared" si="3"/>
        <v>16</v>
      </c>
      <c r="I10" s="46">
        <f t="shared" si="0"/>
        <v>190</v>
      </c>
      <c r="J10" s="46">
        <f t="shared" si="1"/>
        <v>3040</v>
      </c>
      <c r="K10" s="36">
        <f t="shared" si="2"/>
        <v>16</v>
      </c>
    </row>
    <row r="11" spans="2:11" ht="30" customHeight="1" thickTop="1" thickBot="1">
      <c r="B11" s="2" t="s">
        <v>7</v>
      </c>
      <c r="C11" s="3">
        <v>0</v>
      </c>
      <c r="D11" s="3">
        <v>0</v>
      </c>
      <c r="E11" s="3">
        <v>0</v>
      </c>
      <c r="F11" s="46">
        <v>290</v>
      </c>
      <c r="G11" s="46">
        <v>4640</v>
      </c>
      <c r="H11" s="36">
        <f t="shared" si="3"/>
        <v>16</v>
      </c>
      <c r="I11" s="46">
        <f t="shared" si="0"/>
        <v>290</v>
      </c>
      <c r="J11" s="46">
        <f t="shared" si="1"/>
        <v>4640</v>
      </c>
      <c r="K11" s="36">
        <f t="shared" si="2"/>
        <v>16</v>
      </c>
    </row>
    <row r="12" spans="2:11" ht="30" customHeight="1" thickTop="1">
      <c r="B12" s="92" t="s">
        <v>21</v>
      </c>
      <c r="C12" s="93">
        <v>0</v>
      </c>
      <c r="D12" s="93">
        <v>0</v>
      </c>
      <c r="E12" s="93">
        <v>0</v>
      </c>
      <c r="F12" s="94">
        <v>15</v>
      </c>
      <c r="G12" s="94">
        <v>225</v>
      </c>
      <c r="H12" s="74">
        <f>G12/F12</f>
        <v>15</v>
      </c>
      <c r="I12" s="94">
        <f t="shared" si="0"/>
        <v>15</v>
      </c>
      <c r="J12" s="94">
        <f t="shared" si="1"/>
        <v>225</v>
      </c>
      <c r="K12" s="74">
        <f t="shared" si="2"/>
        <v>15</v>
      </c>
    </row>
    <row r="13" spans="2:11" ht="30" customHeight="1">
      <c r="B13" s="95" t="s">
        <v>13</v>
      </c>
      <c r="C13" s="96">
        <v>0</v>
      </c>
      <c r="D13" s="96">
        <v>0</v>
      </c>
      <c r="E13" s="96">
        <v>0</v>
      </c>
      <c r="F13" s="97">
        <f>SUM(F6:F12)</f>
        <v>715</v>
      </c>
      <c r="G13" s="97">
        <f>SUM(G6:G12)</f>
        <v>10675</v>
      </c>
      <c r="H13" s="75">
        <f>G13/F13</f>
        <v>14.93006993006993</v>
      </c>
      <c r="I13" s="97">
        <f>SUM(I6:I12)</f>
        <v>715</v>
      </c>
      <c r="J13" s="97">
        <f>SUM(J6:J12)</f>
        <v>10675</v>
      </c>
      <c r="K13" s="75">
        <f>J13/I13</f>
        <v>14.93006993006993</v>
      </c>
    </row>
    <row r="14" spans="2:11" ht="19.5">
      <c r="B14" s="15" t="s">
        <v>19</v>
      </c>
      <c r="C14" s="15"/>
      <c r="D14" s="15"/>
      <c r="E14" s="15"/>
      <c r="F14" s="15"/>
      <c r="G14" s="15"/>
      <c r="H14" s="15"/>
      <c r="I14" s="15"/>
      <c r="J14" s="15"/>
      <c r="K14" s="15"/>
    </row>
    <row r="17" spans="2:2">
      <c r="B17" s="4" t="s">
        <v>19</v>
      </c>
    </row>
  </sheetData>
  <mergeCells count="7">
    <mergeCell ref="B1:K1"/>
    <mergeCell ref="B2:K2"/>
    <mergeCell ref="B3:K3"/>
    <mergeCell ref="B4:B5"/>
    <mergeCell ref="C4:E4"/>
    <mergeCell ref="F4:H4"/>
    <mergeCell ref="I4:K4"/>
  </mergeCells>
  <pageMargins left="0.70866141732283472" right="0.70866141732283472" top="0.74803149606299213" bottom="0.74803149606299213" header="0.31496062992125984" footer="0.31496062992125984"/>
  <pageSetup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18"/>
  <sheetViews>
    <sheetView rightToLeft="1" zoomScale="90" zoomScaleNormal="90" workbookViewId="0">
      <selection activeCell="P9" sqref="P9"/>
    </sheetView>
  </sheetViews>
  <sheetFormatPr defaultRowHeight="15"/>
  <cols>
    <col min="1" max="1" width="1.140625" style="1" customWidth="1"/>
    <col min="2" max="2" width="17.5703125" style="1" customWidth="1"/>
    <col min="3" max="3" width="10" style="1" customWidth="1"/>
    <col min="4" max="4" width="10.28515625" style="1" customWidth="1"/>
    <col min="5" max="5" width="9.140625" style="1" customWidth="1"/>
    <col min="6" max="6" width="8.42578125" style="1" bestFit="1" customWidth="1"/>
    <col min="7" max="7" width="11.85546875" style="1" bestFit="1" customWidth="1"/>
    <col min="8" max="8" width="14.140625" style="1" bestFit="1" customWidth="1"/>
    <col min="9" max="9" width="8.42578125" style="1" bestFit="1" customWidth="1"/>
    <col min="10" max="10" width="10.140625" style="1" bestFit="1" customWidth="1"/>
    <col min="11" max="11" width="14.140625" style="1" bestFit="1" customWidth="1"/>
    <col min="12" max="12" width="10.140625" style="1" bestFit="1" customWidth="1"/>
    <col min="13" max="13" width="11.85546875" style="1" bestFit="1" customWidth="1"/>
    <col min="14" max="14" width="14.140625" style="1" bestFit="1" customWidth="1"/>
    <col min="15" max="166" width="9.140625" style="1"/>
    <col min="167" max="167" width="1.140625" style="1" customWidth="1"/>
    <col min="168" max="168" width="20.42578125" style="1" customWidth="1"/>
    <col min="169" max="177" width="7.5703125" style="1" customWidth="1"/>
    <col min="178" max="422" width="9.140625" style="1"/>
    <col min="423" max="423" width="1.140625" style="1" customWidth="1"/>
    <col min="424" max="424" width="20.42578125" style="1" customWidth="1"/>
    <col min="425" max="433" width="7.5703125" style="1" customWidth="1"/>
    <col min="434" max="678" width="9.140625" style="1"/>
    <col min="679" max="679" width="1.140625" style="1" customWidth="1"/>
    <col min="680" max="680" width="20.42578125" style="1" customWidth="1"/>
    <col min="681" max="689" width="7.5703125" style="1" customWidth="1"/>
    <col min="690" max="934" width="9.140625" style="1"/>
    <col min="935" max="935" width="1.140625" style="1" customWidth="1"/>
    <col min="936" max="936" width="20.42578125" style="1" customWidth="1"/>
    <col min="937" max="945" width="7.5703125" style="1" customWidth="1"/>
    <col min="946" max="1190" width="9.140625" style="1"/>
    <col min="1191" max="1191" width="1.140625" style="1" customWidth="1"/>
    <col min="1192" max="1192" width="20.42578125" style="1" customWidth="1"/>
    <col min="1193" max="1201" width="7.5703125" style="1" customWidth="1"/>
    <col min="1202" max="1446" width="9.140625" style="1"/>
    <col min="1447" max="1447" width="1.140625" style="1" customWidth="1"/>
    <col min="1448" max="1448" width="20.42578125" style="1" customWidth="1"/>
    <col min="1449" max="1457" width="7.5703125" style="1" customWidth="1"/>
    <col min="1458" max="1702" width="9.140625" style="1"/>
    <col min="1703" max="1703" width="1.140625" style="1" customWidth="1"/>
    <col min="1704" max="1704" width="20.42578125" style="1" customWidth="1"/>
    <col min="1705" max="1713" width="7.5703125" style="1" customWidth="1"/>
    <col min="1714" max="1958" width="9.140625" style="1"/>
    <col min="1959" max="1959" width="1.140625" style="1" customWidth="1"/>
    <col min="1960" max="1960" width="20.42578125" style="1" customWidth="1"/>
    <col min="1961" max="1969" width="7.5703125" style="1" customWidth="1"/>
    <col min="1970" max="2214" width="9.140625" style="1"/>
    <col min="2215" max="2215" width="1.140625" style="1" customWidth="1"/>
    <col min="2216" max="2216" width="20.42578125" style="1" customWidth="1"/>
    <col min="2217" max="2225" width="7.5703125" style="1" customWidth="1"/>
    <col min="2226" max="2470" width="9.140625" style="1"/>
    <col min="2471" max="2471" width="1.140625" style="1" customWidth="1"/>
    <col min="2472" max="2472" width="20.42578125" style="1" customWidth="1"/>
    <col min="2473" max="2481" width="7.5703125" style="1" customWidth="1"/>
    <col min="2482" max="2726" width="9.140625" style="1"/>
    <col min="2727" max="2727" width="1.140625" style="1" customWidth="1"/>
    <col min="2728" max="2728" width="20.42578125" style="1" customWidth="1"/>
    <col min="2729" max="2737" width="7.5703125" style="1" customWidth="1"/>
    <col min="2738" max="2982" width="9.140625" style="1"/>
    <col min="2983" max="2983" width="1.140625" style="1" customWidth="1"/>
    <col min="2984" max="2984" width="20.42578125" style="1" customWidth="1"/>
    <col min="2985" max="2993" width="7.5703125" style="1" customWidth="1"/>
    <col min="2994" max="3238" width="9.140625" style="1"/>
    <col min="3239" max="3239" width="1.140625" style="1" customWidth="1"/>
    <col min="3240" max="3240" width="20.42578125" style="1" customWidth="1"/>
    <col min="3241" max="3249" width="7.5703125" style="1" customWidth="1"/>
    <col min="3250" max="3494" width="9.140625" style="1"/>
    <col min="3495" max="3495" width="1.140625" style="1" customWidth="1"/>
    <col min="3496" max="3496" width="20.42578125" style="1" customWidth="1"/>
    <col min="3497" max="3505" width="7.5703125" style="1" customWidth="1"/>
    <col min="3506" max="3750" width="9.140625" style="1"/>
    <col min="3751" max="3751" width="1.140625" style="1" customWidth="1"/>
    <col min="3752" max="3752" width="20.42578125" style="1" customWidth="1"/>
    <col min="3753" max="3761" width="7.5703125" style="1" customWidth="1"/>
    <col min="3762" max="4006" width="9.140625" style="1"/>
    <col min="4007" max="4007" width="1.140625" style="1" customWidth="1"/>
    <col min="4008" max="4008" width="20.42578125" style="1" customWidth="1"/>
    <col min="4009" max="4017" width="7.5703125" style="1" customWidth="1"/>
    <col min="4018" max="4262" width="9.140625" style="1"/>
    <col min="4263" max="4263" width="1.140625" style="1" customWidth="1"/>
    <col min="4264" max="4264" width="20.42578125" style="1" customWidth="1"/>
    <col min="4265" max="4273" width="7.5703125" style="1" customWidth="1"/>
    <col min="4274" max="4518" width="9.140625" style="1"/>
    <col min="4519" max="4519" width="1.140625" style="1" customWidth="1"/>
    <col min="4520" max="4520" width="20.42578125" style="1" customWidth="1"/>
    <col min="4521" max="4529" width="7.5703125" style="1" customWidth="1"/>
    <col min="4530" max="4774" width="9.140625" style="1"/>
    <col min="4775" max="4775" width="1.140625" style="1" customWidth="1"/>
    <col min="4776" max="4776" width="20.42578125" style="1" customWidth="1"/>
    <col min="4777" max="4785" width="7.5703125" style="1" customWidth="1"/>
    <col min="4786" max="5030" width="9.140625" style="1"/>
    <col min="5031" max="5031" width="1.140625" style="1" customWidth="1"/>
    <col min="5032" max="5032" width="20.42578125" style="1" customWidth="1"/>
    <col min="5033" max="5041" width="7.5703125" style="1" customWidth="1"/>
    <col min="5042" max="5286" width="9.140625" style="1"/>
    <col min="5287" max="5287" width="1.140625" style="1" customWidth="1"/>
    <col min="5288" max="5288" width="20.42578125" style="1" customWidth="1"/>
    <col min="5289" max="5297" width="7.5703125" style="1" customWidth="1"/>
    <col min="5298" max="5542" width="9.140625" style="1"/>
    <col min="5543" max="5543" width="1.140625" style="1" customWidth="1"/>
    <col min="5544" max="5544" width="20.42578125" style="1" customWidth="1"/>
    <col min="5545" max="5553" width="7.5703125" style="1" customWidth="1"/>
    <col min="5554" max="5798" width="9.140625" style="1"/>
    <col min="5799" max="5799" width="1.140625" style="1" customWidth="1"/>
    <col min="5800" max="5800" width="20.42578125" style="1" customWidth="1"/>
    <col min="5801" max="5809" width="7.5703125" style="1" customWidth="1"/>
    <col min="5810" max="6054" width="9.140625" style="1"/>
    <col min="6055" max="6055" width="1.140625" style="1" customWidth="1"/>
    <col min="6056" max="6056" width="20.42578125" style="1" customWidth="1"/>
    <col min="6057" max="6065" width="7.5703125" style="1" customWidth="1"/>
    <col min="6066" max="6310" width="9.140625" style="1"/>
    <col min="6311" max="6311" width="1.140625" style="1" customWidth="1"/>
    <col min="6312" max="6312" width="20.42578125" style="1" customWidth="1"/>
    <col min="6313" max="6321" width="7.5703125" style="1" customWidth="1"/>
    <col min="6322" max="6566" width="9.140625" style="1"/>
    <col min="6567" max="6567" width="1.140625" style="1" customWidth="1"/>
    <col min="6568" max="6568" width="20.42578125" style="1" customWidth="1"/>
    <col min="6569" max="6577" width="7.5703125" style="1" customWidth="1"/>
    <col min="6578" max="6822" width="9.140625" style="1"/>
    <col min="6823" max="6823" width="1.140625" style="1" customWidth="1"/>
    <col min="6824" max="6824" width="20.42578125" style="1" customWidth="1"/>
    <col min="6825" max="6833" width="7.5703125" style="1" customWidth="1"/>
    <col min="6834" max="7078" width="9.140625" style="1"/>
    <col min="7079" max="7079" width="1.140625" style="1" customWidth="1"/>
    <col min="7080" max="7080" width="20.42578125" style="1" customWidth="1"/>
    <col min="7081" max="7089" width="7.5703125" style="1" customWidth="1"/>
    <col min="7090" max="7334" width="9.140625" style="1"/>
    <col min="7335" max="7335" width="1.140625" style="1" customWidth="1"/>
    <col min="7336" max="7336" width="20.42578125" style="1" customWidth="1"/>
    <col min="7337" max="7345" width="7.5703125" style="1" customWidth="1"/>
    <col min="7346" max="7590" width="9.140625" style="1"/>
    <col min="7591" max="7591" width="1.140625" style="1" customWidth="1"/>
    <col min="7592" max="7592" width="20.42578125" style="1" customWidth="1"/>
    <col min="7593" max="7601" width="7.5703125" style="1" customWidth="1"/>
    <col min="7602" max="7846" width="9.140625" style="1"/>
    <col min="7847" max="7847" width="1.140625" style="1" customWidth="1"/>
    <col min="7848" max="7848" width="20.42578125" style="1" customWidth="1"/>
    <col min="7849" max="7857" width="7.5703125" style="1" customWidth="1"/>
    <col min="7858" max="8102" width="9.140625" style="1"/>
    <col min="8103" max="8103" width="1.140625" style="1" customWidth="1"/>
    <col min="8104" max="8104" width="20.42578125" style="1" customWidth="1"/>
    <col min="8105" max="8113" width="7.5703125" style="1" customWidth="1"/>
    <col min="8114" max="8358" width="9.140625" style="1"/>
    <col min="8359" max="8359" width="1.140625" style="1" customWidth="1"/>
    <col min="8360" max="8360" width="20.42578125" style="1" customWidth="1"/>
    <col min="8361" max="8369" width="7.5703125" style="1" customWidth="1"/>
    <col min="8370" max="8614" width="9.140625" style="1"/>
    <col min="8615" max="8615" width="1.140625" style="1" customWidth="1"/>
    <col min="8616" max="8616" width="20.42578125" style="1" customWidth="1"/>
    <col min="8617" max="8625" width="7.5703125" style="1" customWidth="1"/>
    <col min="8626" max="8870" width="9.140625" style="1"/>
    <col min="8871" max="8871" width="1.140625" style="1" customWidth="1"/>
    <col min="8872" max="8872" width="20.42578125" style="1" customWidth="1"/>
    <col min="8873" max="8881" width="7.5703125" style="1" customWidth="1"/>
    <col min="8882" max="9126" width="9.140625" style="1"/>
    <col min="9127" max="9127" width="1.140625" style="1" customWidth="1"/>
    <col min="9128" max="9128" width="20.42578125" style="1" customWidth="1"/>
    <col min="9129" max="9137" width="7.5703125" style="1" customWidth="1"/>
    <col min="9138" max="9382" width="9.140625" style="1"/>
    <col min="9383" max="9383" width="1.140625" style="1" customWidth="1"/>
    <col min="9384" max="9384" width="20.42578125" style="1" customWidth="1"/>
    <col min="9385" max="9393" width="7.5703125" style="1" customWidth="1"/>
    <col min="9394" max="9638" width="9.140625" style="1"/>
    <col min="9639" max="9639" width="1.140625" style="1" customWidth="1"/>
    <col min="9640" max="9640" width="20.42578125" style="1" customWidth="1"/>
    <col min="9641" max="9649" width="7.5703125" style="1" customWidth="1"/>
    <col min="9650" max="9894" width="9.140625" style="1"/>
    <col min="9895" max="9895" width="1.140625" style="1" customWidth="1"/>
    <col min="9896" max="9896" width="20.42578125" style="1" customWidth="1"/>
    <col min="9897" max="9905" width="7.5703125" style="1" customWidth="1"/>
    <col min="9906" max="10150" width="9.140625" style="1"/>
    <col min="10151" max="10151" width="1.140625" style="1" customWidth="1"/>
    <col min="10152" max="10152" width="20.42578125" style="1" customWidth="1"/>
    <col min="10153" max="10161" width="7.5703125" style="1" customWidth="1"/>
    <col min="10162" max="10406" width="9.140625" style="1"/>
    <col min="10407" max="10407" width="1.140625" style="1" customWidth="1"/>
    <col min="10408" max="10408" width="20.42578125" style="1" customWidth="1"/>
    <col min="10409" max="10417" width="7.5703125" style="1" customWidth="1"/>
    <col min="10418" max="10662" width="9.140625" style="1"/>
    <col min="10663" max="10663" width="1.140625" style="1" customWidth="1"/>
    <col min="10664" max="10664" width="20.42578125" style="1" customWidth="1"/>
    <col min="10665" max="10673" width="7.5703125" style="1" customWidth="1"/>
    <col min="10674" max="10918" width="9.140625" style="1"/>
    <col min="10919" max="10919" width="1.140625" style="1" customWidth="1"/>
    <col min="10920" max="10920" width="20.42578125" style="1" customWidth="1"/>
    <col min="10921" max="10929" width="7.5703125" style="1" customWidth="1"/>
    <col min="10930" max="11174" width="9.140625" style="1"/>
    <col min="11175" max="11175" width="1.140625" style="1" customWidth="1"/>
    <col min="11176" max="11176" width="20.42578125" style="1" customWidth="1"/>
    <col min="11177" max="11185" width="7.5703125" style="1" customWidth="1"/>
    <col min="11186" max="11430" width="9.140625" style="1"/>
    <col min="11431" max="11431" width="1.140625" style="1" customWidth="1"/>
    <col min="11432" max="11432" width="20.42578125" style="1" customWidth="1"/>
    <col min="11433" max="11441" width="7.5703125" style="1" customWidth="1"/>
    <col min="11442" max="11686" width="9.140625" style="1"/>
    <col min="11687" max="11687" width="1.140625" style="1" customWidth="1"/>
    <col min="11688" max="11688" width="20.42578125" style="1" customWidth="1"/>
    <col min="11689" max="11697" width="7.5703125" style="1" customWidth="1"/>
    <col min="11698" max="11942" width="9.140625" style="1"/>
    <col min="11943" max="11943" width="1.140625" style="1" customWidth="1"/>
    <col min="11944" max="11944" width="20.42578125" style="1" customWidth="1"/>
    <col min="11945" max="11953" width="7.5703125" style="1" customWidth="1"/>
    <col min="11954" max="12198" width="9.140625" style="1"/>
    <col min="12199" max="12199" width="1.140625" style="1" customWidth="1"/>
    <col min="12200" max="12200" width="20.42578125" style="1" customWidth="1"/>
    <col min="12201" max="12209" width="7.5703125" style="1" customWidth="1"/>
    <col min="12210" max="12454" width="9.140625" style="1"/>
    <col min="12455" max="12455" width="1.140625" style="1" customWidth="1"/>
    <col min="12456" max="12456" width="20.42578125" style="1" customWidth="1"/>
    <col min="12457" max="12465" width="7.5703125" style="1" customWidth="1"/>
    <col min="12466" max="12710" width="9.140625" style="1"/>
    <col min="12711" max="12711" width="1.140625" style="1" customWidth="1"/>
    <col min="12712" max="12712" width="20.42578125" style="1" customWidth="1"/>
    <col min="12713" max="12721" width="7.5703125" style="1" customWidth="1"/>
    <col min="12722" max="12966" width="9.140625" style="1"/>
    <col min="12967" max="12967" width="1.140625" style="1" customWidth="1"/>
    <col min="12968" max="12968" width="20.42578125" style="1" customWidth="1"/>
    <col min="12969" max="12977" width="7.5703125" style="1" customWidth="1"/>
    <col min="12978" max="13222" width="9.140625" style="1"/>
    <col min="13223" max="13223" width="1.140625" style="1" customWidth="1"/>
    <col min="13224" max="13224" width="20.42578125" style="1" customWidth="1"/>
    <col min="13225" max="13233" width="7.5703125" style="1" customWidth="1"/>
    <col min="13234" max="13478" width="9.140625" style="1"/>
    <col min="13479" max="13479" width="1.140625" style="1" customWidth="1"/>
    <col min="13480" max="13480" width="20.42578125" style="1" customWidth="1"/>
    <col min="13481" max="13489" width="7.5703125" style="1" customWidth="1"/>
    <col min="13490" max="13734" width="9.140625" style="1"/>
    <col min="13735" max="13735" width="1.140625" style="1" customWidth="1"/>
    <col min="13736" max="13736" width="20.42578125" style="1" customWidth="1"/>
    <col min="13737" max="13745" width="7.5703125" style="1" customWidth="1"/>
    <col min="13746" max="13990" width="9.140625" style="1"/>
    <col min="13991" max="13991" width="1.140625" style="1" customWidth="1"/>
    <col min="13992" max="13992" width="20.42578125" style="1" customWidth="1"/>
    <col min="13993" max="14001" width="7.5703125" style="1" customWidth="1"/>
    <col min="14002" max="14246" width="9.140625" style="1"/>
    <col min="14247" max="14247" width="1.140625" style="1" customWidth="1"/>
    <col min="14248" max="14248" width="20.42578125" style="1" customWidth="1"/>
    <col min="14249" max="14257" width="7.5703125" style="1" customWidth="1"/>
    <col min="14258" max="14502" width="9.140625" style="1"/>
    <col min="14503" max="14503" width="1.140625" style="1" customWidth="1"/>
    <col min="14504" max="14504" width="20.42578125" style="1" customWidth="1"/>
    <col min="14505" max="14513" width="7.5703125" style="1" customWidth="1"/>
    <col min="14514" max="14758" width="9.140625" style="1"/>
    <col min="14759" max="14759" width="1.140625" style="1" customWidth="1"/>
    <col min="14760" max="14760" width="20.42578125" style="1" customWidth="1"/>
    <col min="14761" max="14769" width="7.5703125" style="1" customWidth="1"/>
    <col min="14770" max="15014" width="9.140625" style="1"/>
    <col min="15015" max="15015" width="1.140625" style="1" customWidth="1"/>
    <col min="15016" max="15016" width="20.42578125" style="1" customWidth="1"/>
    <col min="15017" max="15025" width="7.5703125" style="1" customWidth="1"/>
    <col min="15026" max="15270" width="9.140625" style="1"/>
    <col min="15271" max="15271" width="1.140625" style="1" customWidth="1"/>
    <col min="15272" max="15272" width="20.42578125" style="1" customWidth="1"/>
    <col min="15273" max="15281" width="7.5703125" style="1" customWidth="1"/>
    <col min="15282" max="15526" width="9.140625" style="1"/>
    <col min="15527" max="15527" width="1.140625" style="1" customWidth="1"/>
    <col min="15528" max="15528" width="20.42578125" style="1" customWidth="1"/>
    <col min="15529" max="15537" width="7.5703125" style="1" customWidth="1"/>
    <col min="15538" max="15782" width="9.140625" style="1"/>
    <col min="15783" max="15783" width="1.140625" style="1" customWidth="1"/>
    <col min="15784" max="15784" width="20.42578125" style="1" customWidth="1"/>
    <col min="15785" max="15793" width="7.5703125" style="1" customWidth="1"/>
    <col min="15794" max="16038" width="9.140625" style="1"/>
    <col min="16039" max="16039" width="1.140625" style="1" customWidth="1"/>
    <col min="16040" max="16040" width="20.42578125" style="1" customWidth="1"/>
    <col min="16041" max="16049" width="7.5703125" style="1" customWidth="1"/>
    <col min="16050" max="16339" width="9.140625" style="1"/>
    <col min="16340" max="16384" width="9" style="1" customWidth="1"/>
  </cols>
  <sheetData>
    <row r="1" spans="2:14" ht="9.75" customHeight="1"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2:14" ht="30">
      <c r="B2" s="115" t="s">
        <v>44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3" spans="2:14" ht="17.25">
      <c r="B3" s="99" t="s">
        <v>8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2:14" ht="30" customHeight="1">
      <c r="B4" s="102" t="s">
        <v>2</v>
      </c>
      <c r="C4" s="102" t="s">
        <v>28</v>
      </c>
      <c r="D4" s="102"/>
      <c r="E4" s="102"/>
      <c r="F4" s="102" t="s">
        <v>29</v>
      </c>
      <c r="G4" s="102"/>
      <c r="H4" s="102"/>
      <c r="I4" s="102" t="s">
        <v>27</v>
      </c>
      <c r="J4" s="102"/>
      <c r="K4" s="102"/>
      <c r="L4" s="102" t="s">
        <v>30</v>
      </c>
      <c r="M4" s="102"/>
      <c r="N4" s="102"/>
    </row>
    <row r="5" spans="2:14" ht="30" customHeight="1">
      <c r="B5" s="102"/>
      <c r="C5" s="48" t="s">
        <v>0</v>
      </c>
      <c r="D5" s="48" t="s">
        <v>22</v>
      </c>
      <c r="E5" s="48" t="s">
        <v>23</v>
      </c>
      <c r="F5" s="48" t="s">
        <v>0</v>
      </c>
      <c r="G5" s="48" t="s">
        <v>22</v>
      </c>
      <c r="H5" s="48" t="s">
        <v>23</v>
      </c>
      <c r="I5" s="48" t="s">
        <v>0</v>
      </c>
      <c r="J5" s="48" t="s">
        <v>22</v>
      </c>
      <c r="K5" s="48" t="s">
        <v>23</v>
      </c>
      <c r="L5" s="48" t="s">
        <v>0</v>
      </c>
      <c r="M5" s="48" t="s">
        <v>22</v>
      </c>
      <c r="N5" s="48" t="s">
        <v>23</v>
      </c>
    </row>
    <row r="6" spans="2:14" ht="30" customHeight="1" thickBot="1">
      <c r="B6" s="53" t="s">
        <v>6</v>
      </c>
      <c r="C6" s="39">
        <v>0</v>
      </c>
      <c r="D6" s="39">
        <v>0</v>
      </c>
      <c r="E6" s="39">
        <v>0</v>
      </c>
      <c r="F6" s="88">
        <v>0</v>
      </c>
      <c r="G6" s="88">
        <v>0</v>
      </c>
      <c r="H6" s="41">
        <v>0</v>
      </c>
      <c r="I6" s="88">
        <v>15</v>
      </c>
      <c r="J6" s="88">
        <v>405</v>
      </c>
      <c r="K6" s="41">
        <f>J6/I6</f>
        <v>27</v>
      </c>
      <c r="L6" s="88">
        <f>I6+F6+C6</f>
        <v>15</v>
      </c>
      <c r="M6" s="88">
        <f>J6+G6+D6</f>
        <v>405</v>
      </c>
      <c r="N6" s="41">
        <f>M6/L6</f>
        <v>27</v>
      </c>
    </row>
    <row r="7" spans="2:14" ht="30" customHeight="1" thickTop="1" thickBot="1">
      <c r="B7" s="52" t="s">
        <v>15</v>
      </c>
      <c r="C7" s="35">
        <v>0</v>
      </c>
      <c r="D7" s="35">
        <v>0</v>
      </c>
      <c r="E7" s="35">
        <v>0</v>
      </c>
      <c r="F7" s="46">
        <v>900</v>
      </c>
      <c r="G7" s="46">
        <v>32130</v>
      </c>
      <c r="H7" s="36">
        <f>G7/F7</f>
        <v>35.700000000000003</v>
      </c>
      <c r="I7" s="46">
        <v>0</v>
      </c>
      <c r="J7" s="46">
        <v>0</v>
      </c>
      <c r="K7" s="36">
        <v>0</v>
      </c>
      <c r="L7" s="46">
        <f>I7+F7+C7</f>
        <v>900</v>
      </c>
      <c r="M7" s="46">
        <f>J7+G7+D7</f>
        <v>32130</v>
      </c>
      <c r="N7" s="36">
        <f t="shared" ref="N7:N14" si="0">M7/L7</f>
        <v>35.700000000000003</v>
      </c>
    </row>
    <row r="8" spans="2:14" ht="30" customHeight="1" thickTop="1" thickBot="1">
      <c r="B8" s="52" t="s">
        <v>14</v>
      </c>
      <c r="C8" s="35">
        <v>0</v>
      </c>
      <c r="D8" s="35">
        <v>0</v>
      </c>
      <c r="E8" s="35">
        <v>0</v>
      </c>
      <c r="F8" s="46">
        <v>0</v>
      </c>
      <c r="G8" s="46">
        <v>0</v>
      </c>
      <c r="H8" s="36">
        <v>0</v>
      </c>
      <c r="I8" s="46">
        <v>200</v>
      </c>
      <c r="J8" s="46">
        <v>6200</v>
      </c>
      <c r="K8" s="36">
        <f t="shared" ref="K8:K14" si="1">J8/I8</f>
        <v>31</v>
      </c>
      <c r="L8" s="46">
        <f t="shared" ref="L8:L14" si="2">I8+F8+C8</f>
        <v>200</v>
      </c>
      <c r="M8" s="46">
        <f t="shared" ref="M8:M14" si="3">J8+G8+D8</f>
        <v>6200</v>
      </c>
      <c r="N8" s="36">
        <f t="shared" si="0"/>
        <v>31</v>
      </c>
    </row>
    <row r="9" spans="2:14" ht="30" customHeight="1" thickTop="1" thickBot="1">
      <c r="B9" s="52" t="s">
        <v>9</v>
      </c>
      <c r="C9" s="35">
        <v>600</v>
      </c>
      <c r="D9" s="35">
        <v>27000</v>
      </c>
      <c r="E9" s="36">
        <f>D9/C9</f>
        <v>45</v>
      </c>
      <c r="F9" s="46">
        <v>200</v>
      </c>
      <c r="G9" s="46">
        <v>9000</v>
      </c>
      <c r="H9" s="36">
        <f t="shared" ref="H9:H13" si="4">G9/F9</f>
        <v>45</v>
      </c>
      <c r="I9" s="46">
        <v>600</v>
      </c>
      <c r="J9" s="46">
        <v>27000</v>
      </c>
      <c r="K9" s="36">
        <f t="shared" si="1"/>
        <v>45</v>
      </c>
      <c r="L9" s="46">
        <f t="shared" si="2"/>
        <v>1400</v>
      </c>
      <c r="M9" s="46">
        <f t="shared" si="3"/>
        <v>63000</v>
      </c>
      <c r="N9" s="36">
        <f t="shared" si="0"/>
        <v>45</v>
      </c>
    </row>
    <row r="10" spans="2:14" ht="30" customHeight="1" thickTop="1" thickBot="1">
      <c r="B10" s="52" t="s">
        <v>7</v>
      </c>
      <c r="C10" s="35">
        <v>0</v>
      </c>
      <c r="D10" s="35">
        <v>0</v>
      </c>
      <c r="E10" s="35">
        <v>0</v>
      </c>
      <c r="F10" s="46">
        <v>400</v>
      </c>
      <c r="G10" s="46">
        <v>14400</v>
      </c>
      <c r="H10" s="36">
        <f t="shared" si="4"/>
        <v>36</v>
      </c>
      <c r="I10" s="46">
        <v>300</v>
      </c>
      <c r="J10" s="46">
        <v>10500</v>
      </c>
      <c r="K10" s="36">
        <f t="shared" si="1"/>
        <v>35</v>
      </c>
      <c r="L10" s="46">
        <f t="shared" si="2"/>
        <v>700</v>
      </c>
      <c r="M10" s="46">
        <f t="shared" si="3"/>
        <v>24900</v>
      </c>
      <c r="N10" s="36">
        <f t="shared" si="0"/>
        <v>35.571428571428569</v>
      </c>
    </row>
    <row r="11" spans="2:14" ht="30" customHeight="1" thickTop="1" thickBot="1">
      <c r="B11" s="52" t="s">
        <v>3</v>
      </c>
      <c r="C11" s="35">
        <v>0</v>
      </c>
      <c r="D11" s="35">
        <v>0</v>
      </c>
      <c r="E11" s="35">
        <v>0</v>
      </c>
      <c r="F11" s="46">
        <v>400</v>
      </c>
      <c r="G11" s="46">
        <v>18800</v>
      </c>
      <c r="H11" s="36">
        <f>G11/F11</f>
        <v>47</v>
      </c>
      <c r="I11" s="46">
        <v>400</v>
      </c>
      <c r="J11" s="46">
        <v>24000</v>
      </c>
      <c r="K11" s="36">
        <f t="shared" si="1"/>
        <v>60</v>
      </c>
      <c r="L11" s="46">
        <f>I11+F11+C11</f>
        <v>800</v>
      </c>
      <c r="M11" s="46">
        <f>J11+G11+D11</f>
        <v>42800</v>
      </c>
      <c r="N11" s="36">
        <f t="shared" si="0"/>
        <v>53.5</v>
      </c>
    </row>
    <row r="12" spans="2:14" ht="30" customHeight="1" thickTop="1" thickBot="1">
      <c r="B12" s="52" t="s">
        <v>17</v>
      </c>
      <c r="C12" s="35">
        <v>0</v>
      </c>
      <c r="D12" s="35">
        <v>0</v>
      </c>
      <c r="E12" s="35">
        <v>0</v>
      </c>
      <c r="F12" s="46">
        <v>0</v>
      </c>
      <c r="G12" s="46">
        <v>0</v>
      </c>
      <c r="H12" s="36">
        <v>0</v>
      </c>
      <c r="I12" s="46">
        <v>10</v>
      </c>
      <c r="J12" s="46">
        <v>210</v>
      </c>
      <c r="K12" s="36">
        <f t="shared" si="1"/>
        <v>21</v>
      </c>
      <c r="L12" s="46">
        <f t="shared" si="2"/>
        <v>10</v>
      </c>
      <c r="M12" s="46">
        <f t="shared" si="3"/>
        <v>210</v>
      </c>
      <c r="N12" s="36">
        <f t="shared" si="0"/>
        <v>21</v>
      </c>
    </row>
    <row r="13" spans="2:14" ht="30" customHeight="1" thickTop="1" thickBot="1">
      <c r="B13" s="52" t="s">
        <v>16</v>
      </c>
      <c r="C13" s="35">
        <v>0</v>
      </c>
      <c r="D13" s="35">
        <v>0</v>
      </c>
      <c r="E13" s="35">
        <v>0</v>
      </c>
      <c r="F13" s="46">
        <v>8000</v>
      </c>
      <c r="G13" s="46">
        <v>456000</v>
      </c>
      <c r="H13" s="36">
        <f t="shared" si="4"/>
        <v>57</v>
      </c>
      <c r="I13" s="46">
        <v>0</v>
      </c>
      <c r="J13" s="46">
        <v>0</v>
      </c>
      <c r="K13" s="36">
        <v>0</v>
      </c>
      <c r="L13" s="46">
        <f t="shared" si="2"/>
        <v>8000</v>
      </c>
      <c r="M13" s="46">
        <f t="shared" si="3"/>
        <v>456000</v>
      </c>
      <c r="N13" s="36">
        <f>M13/L13</f>
        <v>57</v>
      </c>
    </row>
    <row r="14" spans="2:14" ht="30" customHeight="1" thickTop="1">
      <c r="B14" s="55" t="s">
        <v>21</v>
      </c>
      <c r="C14" s="73">
        <v>0</v>
      </c>
      <c r="D14" s="73">
        <v>0</v>
      </c>
      <c r="E14" s="73">
        <v>0</v>
      </c>
      <c r="F14" s="94">
        <v>0</v>
      </c>
      <c r="G14" s="94">
        <v>0</v>
      </c>
      <c r="H14" s="74">
        <v>0</v>
      </c>
      <c r="I14" s="94">
        <v>150</v>
      </c>
      <c r="J14" s="94">
        <v>4500</v>
      </c>
      <c r="K14" s="74">
        <f t="shared" si="1"/>
        <v>30</v>
      </c>
      <c r="L14" s="94">
        <f t="shared" si="2"/>
        <v>150</v>
      </c>
      <c r="M14" s="94">
        <f t="shared" si="3"/>
        <v>4500</v>
      </c>
      <c r="N14" s="74">
        <f t="shared" si="0"/>
        <v>30</v>
      </c>
    </row>
    <row r="15" spans="2:14" ht="30" customHeight="1">
      <c r="B15" s="62" t="s">
        <v>13</v>
      </c>
      <c r="C15" s="97">
        <f>SUM(C6:C14)</f>
        <v>600</v>
      </c>
      <c r="D15" s="97">
        <f>SUM(D6:D14)</f>
        <v>27000</v>
      </c>
      <c r="E15" s="75">
        <f>D15/C15</f>
        <v>45</v>
      </c>
      <c r="F15" s="97">
        <f>SUM(F6:F14)</f>
        <v>9900</v>
      </c>
      <c r="G15" s="97">
        <f>SUM(G6:G14)</f>
        <v>530330</v>
      </c>
      <c r="H15" s="75">
        <f>G15/F15</f>
        <v>53.568686868686868</v>
      </c>
      <c r="I15" s="97">
        <f>SUM(I6:I14)</f>
        <v>1675</v>
      </c>
      <c r="J15" s="97">
        <f>SUM(J6:J14)</f>
        <v>72815</v>
      </c>
      <c r="K15" s="75">
        <f>J15/I15</f>
        <v>43.471641791044775</v>
      </c>
      <c r="L15" s="97">
        <f>SUM(L6:L14)</f>
        <v>12175</v>
      </c>
      <c r="M15" s="97">
        <f>SUM(M6:M14)</f>
        <v>630145</v>
      </c>
      <c r="N15" s="75">
        <f>M15/L15</f>
        <v>51.757289527720737</v>
      </c>
    </row>
    <row r="16" spans="2:14" ht="19.5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8" spans="2:5">
      <c r="B18" s="4"/>
      <c r="C18" s="4"/>
      <c r="D18" s="4"/>
      <c r="E18" s="4"/>
    </row>
  </sheetData>
  <mergeCells count="8">
    <mergeCell ref="C4:E4"/>
    <mergeCell ref="B1:N1"/>
    <mergeCell ref="B2:N2"/>
    <mergeCell ref="B3:N3"/>
    <mergeCell ref="B4:B5"/>
    <mergeCell ref="F4:H4"/>
    <mergeCell ref="I4:K4"/>
    <mergeCell ref="L4:N4"/>
  </mergeCells>
  <pageMargins left="0.70866141732283472" right="0.70866141732283472" top="0.74803149606299213" bottom="0.74803149606299213" header="0.31496062992125984" footer="0.31496062992125984"/>
  <pageSetup scale="8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17"/>
  <sheetViews>
    <sheetView rightToLeft="1" tabSelected="1" zoomScaleNormal="100" workbookViewId="0">
      <selection activeCell="T3" sqref="T3"/>
    </sheetView>
  </sheetViews>
  <sheetFormatPr defaultRowHeight="15"/>
  <cols>
    <col min="1" max="1" width="1.140625" style="1" customWidth="1"/>
    <col min="2" max="2" width="17.5703125" style="1" customWidth="1"/>
    <col min="3" max="3" width="7.85546875" style="1" customWidth="1"/>
    <col min="4" max="4" width="12.5703125" style="1" customWidth="1"/>
    <col min="5" max="5" width="7.5703125" style="1" customWidth="1"/>
    <col min="6" max="6" width="9.140625" style="1" bestFit="1" customWidth="1"/>
    <col min="7" max="7" width="12.28515625" style="1" bestFit="1" customWidth="1"/>
    <col min="8" max="8" width="7.5703125" style="1" customWidth="1"/>
    <col min="9" max="9" width="9.140625" style="1" bestFit="1" customWidth="1"/>
    <col min="10" max="10" width="10.7109375" style="1" bestFit="1" customWidth="1"/>
    <col min="11" max="11" width="7.5703125" style="1" customWidth="1"/>
    <col min="12" max="12" width="9.140625" style="1" bestFit="1" customWidth="1"/>
    <col min="13" max="13" width="12.42578125" style="1" bestFit="1" customWidth="1"/>
    <col min="14" max="14" width="7.5703125" style="1" customWidth="1"/>
    <col min="15" max="166" width="9.140625" style="1"/>
    <col min="167" max="167" width="1.140625" style="1" customWidth="1"/>
    <col min="168" max="168" width="20.42578125" style="1" customWidth="1"/>
    <col min="169" max="177" width="7.5703125" style="1" customWidth="1"/>
    <col min="178" max="422" width="9.140625" style="1"/>
    <col min="423" max="423" width="1.140625" style="1" customWidth="1"/>
    <col min="424" max="424" width="20.42578125" style="1" customWidth="1"/>
    <col min="425" max="433" width="7.5703125" style="1" customWidth="1"/>
    <col min="434" max="678" width="9.140625" style="1"/>
    <col min="679" max="679" width="1.140625" style="1" customWidth="1"/>
    <col min="680" max="680" width="20.42578125" style="1" customWidth="1"/>
    <col min="681" max="689" width="7.5703125" style="1" customWidth="1"/>
    <col min="690" max="934" width="9.140625" style="1"/>
    <col min="935" max="935" width="1.140625" style="1" customWidth="1"/>
    <col min="936" max="936" width="20.42578125" style="1" customWidth="1"/>
    <col min="937" max="945" width="7.5703125" style="1" customWidth="1"/>
    <col min="946" max="1190" width="9.140625" style="1"/>
    <col min="1191" max="1191" width="1.140625" style="1" customWidth="1"/>
    <col min="1192" max="1192" width="20.42578125" style="1" customWidth="1"/>
    <col min="1193" max="1201" width="7.5703125" style="1" customWidth="1"/>
    <col min="1202" max="1446" width="9.140625" style="1"/>
    <col min="1447" max="1447" width="1.140625" style="1" customWidth="1"/>
    <col min="1448" max="1448" width="20.42578125" style="1" customWidth="1"/>
    <col min="1449" max="1457" width="7.5703125" style="1" customWidth="1"/>
    <col min="1458" max="1702" width="9.140625" style="1"/>
    <col min="1703" max="1703" width="1.140625" style="1" customWidth="1"/>
    <col min="1704" max="1704" width="20.42578125" style="1" customWidth="1"/>
    <col min="1705" max="1713" width="7.5703125" style="1" customWidth="1"/>
    <col min="1714" max="1958" width="9.140625" style="1"/>
    <col min="1959" max="1959" width="1.140625" style="1" customWidth="1"/>
    <col min="1960" max="1960" width="20.42578125" style="1" customWidth="1"/>
    <col min="1961" max="1969" width="7.5703125" style="1" customWidth="1"/>
    <col min="1970" max="2214" width="9.140625" style="1"/>
    <col min="2215" max="2215" width="1.140625" style="1" customWidth="1"/>
    <col min="2216" max="2216" width="20.42578125" style="1" customWidth="1"/>
    <col min="2217" max="2225" width="7.5703125" style="1" customWidth="1"/>
    <col min="2226" max="2470" width="9.140625" style="1"/>
    <col min="2471" max="2471" width="1.140625" style="1" customWidth="1"/>
    <col min="2472" max="2472" width="20.42578125" style="1" customWidth="1"/>
    <col min="2473" max="2481" width="7.5703125" style="1" customWidth="1"/>
    <col min="2482" max="2726" width="9.140625" style="1"/>
    <col min="2727" max="2727" width="1.140625" style="1" customWidth="1"/>
    <col min="2728" max="2728" width="20.42578125" style="1" customWidth="1"/>
    <col min="2729" max="2737" width="7.5703125" style="1" customWidth="1"/>
    <col min="2738" max="2982" width="9.140625" style="1"/>
    <col min="2983" max="2983" width="1.140625" style="1" customWidth="1"/>
    <col min="2984" max="2984" width="20.42578125" style="1" customWidth="1"/>
    <col min="2985" max="2993" width="7.5703125" style="1" customWidth="1"/>
    <col min="2994" max="3238" width="9.140625" style="1"/>
    <col min="3239" max="3239" width="1.140625" style="1" customWidth="1"/>
    <col min="3240" max="3240" width="20.42578125" style="1" customWidth="1"/>
    <col min="3241" max="3249" width="7.5703125" style="1" customWidth="1"/>
    <col min="3250" max="3494" width="9.140625" style="1"/>
    <col min="3495" max="3495" width="1.140625" style="1" customWidth="1"/>
    <col min="3496" max="3496" width="20.42578125" style="1" customWidth="1"/>
    <col min="3497" max="3505" width="7.5703125" style="1" customWidth="1"/>
    <col min="3506" max="3750" width="9.140625" style="1"/>
    <col min="3751" max="3751" width="1.140625" style="1" customWidth="1"/>
    <col min="3752" max="3752" width="20.42578125" style="1" customWidth="1"/>
    <col min="3753" max="3761" width="7.5703125" style="1" customWidth="1"/>
    <col min="3762" max="4006" width="9.140625" style="1"/>
    <col min="4007" max="4007" width="1.140625" style="1" customWidth="1"/>
    <col min="4008" max="4008" width="20.42578125" style="1" customWidth="1"/>
    <col min="4009" max="4017" width="7.5703125" style="1" customWidth="1"/>
    <col min="4018" max="4262" width="9.140625" style="1"/>
    <col min="4263" max="4263" width="1.140625" style="1" customWidth="1"/>
    <col min="4264" max="4264" width="20.42578125" style="1" customWidth="1"/>
    <col min="4265" max="4273" width="7.5703125" style="1" customWidth="1"/>
    <col min="4274" max="4518" width="9.140625" style="1"/>
    <col min="4519" max="4519" width="1.140625" style="1" customWidth="1"/>
    <col min="4520" max="4520" width="20.42578125" style="1" customWidth="1"/>
    <col min="4521" max="4529" width="7.5703125" style="1" customWidth="1"/>
    <col min="4530" max="4774" width="9.140625" style="1"/>
    <col min="4775" max="4775" width="1.140625" style="1" customWidth="1"/>
    <col min="4776" max="4776" width="20.42578125" style="1" customWidth="1"/>
    <col min="4777" max="4785" width="7.5703125" style="1" customWidth="1"/>
    <col min="4786" max="5030" width="9.140625" style="1"/>
    <col min="5031" max="5031" width="1.140625" style="1" customWidth="1"/>
    <col min="5032" max="5032" width="20.42578125" style="1" customWidth="1"/>
    <col min="5033" max="5041" width="7.5703125" style="1" customWidth="1"/>
    <col min="5042" max="5286" width="9.140625" style="1"/>
    <col min="5287" max="5287" width="1.140625" style="1" customWidth="1"/>
    <col min="5288" max="5288" width="20.42578125" style="1" customWidth="1"/>
    <col min="5289" max="5297" width="7.5703125" style="1" customWidth="1"/>
    <col min="5298" max="5542" width="9.140625" style="1"/>
    <col min="5543" max="5543" width="1.140625" style="1" customWidth="1"/>
    <col min="5544" max="5544" width="20.42578125" style="1" customWidth="1"/>
    <col min="5545" max="5553" width="7.5703125" style="1" customWidth="1"/>
    <col min="5554" max="5798" width="9.140625" style="1"/>
    <col min="5799" max="5799" width="1.140625" style="1" customWidth="1"/>
    <col min="5800" max="5800" width="20.42578125" style="1" customWidth="1"/>
    <col min="5801" max="5809" width="7.5703125" style="1" customWidth="1"/>
    <col min="5810" max="6054" width="9.140625" style="1"/>
    <col min="6055" max="6055" width="1.140625" style="1" customWidth="1"/>
    <col min="6056" max="6056" width="20.42578125" style="1" customWidth="1"/>
    <col min="6057" max="6065" width="7.5703125" style="1" customWidth="1"/>
    <col min="6066" max="6310" width="9.140625" style="1"/>
    <col min="6311" max="6311" width="1.140625" style="1" customWidth="1"/>
    <col min="6312" max="6312" width="20.42578125" style="1" customWidth="1"/>
    <col min="6313" max="6321" width="7.5703125" style="1" customWidth="1"/>
    <col min="6322" max="6566" width="9.140625" style="1"/>
    <col min="6567" max="6567" width="1.140625" style="1" customWidth="1"/>
    <col min="6568" max="6568" width="20.42578125" style="1" customWidth="1"/>
    <col min="6569" max="6577" width="7.5703125" style="1" customWidth="1"/>
    <col min="6578" max="6822" width="9.140625" style="1"/>
    <col min="6823" max="6823" width="1.140625" style="1" customWidth="1"/>
    <col min="6824" max="6824" width="20.42578125" style="1" customWidth="1"/>
    <col min="6825" max="6833" width="7.5703125" style="1" customWidth="1"/>
    <col min="6834" max="7078" width="9.140625" style="1"/>
    <col min="7079" max="7079" width="1.140625" style="1" customWidth="1"/>
    <col min="7080" max="7080" width="20.42578125" style="1" customWidth="1"/>
    <col min="7081" max="7089" width="7.5703125" style="1" customWidth="1"/>
    <col min="7090" max="7334" width="9.140625" style="1"/>
    <col min="7335" max="7335" width="1.140625" style="1" customWidth="1"/>
    <col min="7336" max="7336" width="20.42578125" style="1" customWidth="1"/>
    <col min="7337" max="7345" width="7.5703125" style="1" customWidth="1"/>
    <col min="7346" max="7590" width="9.140625" style="1"/>
    <col min="7591" max="7591" width="1.140625" style="1" customWidth="1"/>
    <col min="7592" max="7592" width="20.42578125" style="1" customWidth="1"/>
    <col min="7593" max="7601" width="7.5703125" style="1" customWidth="1"/>
    <col min="7602" max="7846" width="9.140625" style="1"/>
    <col min="7847" max="7847" width="1.140625" style="1" customWidth="1"/>
    <col min="7848" max="7848" width="20.42578125" style="1" customWidth="1"/>
    <col min="7849" max="7857" width="7.5703125" style="1" customWidth="1"/>
    <col min="7858" max="8102" width="9.140625" style="1"/>
    <col min="8103" max="8103" width="1.140625" style="1" customWidth="1"/>
    <col min="8104" max="8104" width="20.42578125" style="1" customWidth="1"/>
    <col min="8105" max="8113" width="7.5703125" style="1" customWidth="1"/>
    <col min="8114" max="8358" width="9.140625" style="1"/>
    <col min="8359" max="8359" width="1.140625" style="1" customWidth="1"/>
    <col min="8360" max="8360" width="20.42578125" style="1" customWidth="1"/>
    <col min="8361" max="8369" width="7.5703125" style="1" customWidth="1"/>
    <col min="8370" max="8614" width="9.140625" style="1"/>
    <col min="8615" max="8615" width="1.140625" style="1" customWidth="1"/>
    <col min="8616" max="8616" width="20.42578125" style="1" customWidth="1"/>
    <col min="8617" max="8625" width="7.5703125" style="1" customWidth="1"/>
    <col min="8626" max="8870" width="9.140625" style="1"/>
    <col min="8871" max="8871" width="1.140625" style="1" customWidth="1"/>
    <col min="8872" max="8872" width="20.42578125" style="1" customWidth="1"/>
    <col min="8873" max="8881" width="7.5703125" style="1" customWidth="1"/>
    <col min="8882" max="9126" width="9.140625" style="1"/>
    <col min="9127" max="9127" width="1.140625" style="1" customWidth="1"/>
    <col min="9128" max="9128" width="20.42578125" style="1" customWidth="1"/>
    <col min="9129" max="9137" width="7.5703125" style="1" customWidth="1"/>
    <col min="9138" max="9382" width="9.140625" style="1"/>
    <col min="9383" max="9383" width="1.140625" style="1" customWidth="1"/>
    <col min="9384" max="9384" width="20.42578125" style="1" customWidth="1"/>
    <col min="9385" max="9393" width="7.5703125" style="1" customWidth="1"/>
    <col min="9394" max="9638" width="9.140625" style="1"/>
    <col min="9639" max="9639" width="1.140625" style="1" customWidth="1"/>
    <col min="9640" max="9640" width="20.42578125" style="1" customWidth="1"/>
    <col min="9641" max="9649" width="7.5703125" style="1" customWidth="1"/>
    <col min="9650" max="9894" width="9.140625" style="1"/>
    <col min="9895" max="9895" width="1.140625" style="1" customWidth="1"/>
    <col min="9896" max="9896" width="20.42578125" style="1" customWidth="1"/>
    <col min="9897" max="9905" width="7.5703125" style="1" customWidth="1"/>
    <col min="9906" max="10150" width="9.140625" style="1"/>
    <col min="10151" max="10151" width="1.140625" style="1" customWidth="1"/>
    <col min="10152" max="10152" width="20.42578125" style="1" customWidth="1"/>
    <col min="10153" max="10161" width="7.5703125" style="1" customWidth="1"/>
    <col min="10162" max="10406" width="9.140625" style="1"/>
    <col min="10407" max="10407" width="1.140625" style="1" customWidth="1"/>
    <col min="10408" max="10408" width="20.42578125" style="1" customWidth="1"/>
    <col min="10409" max="10417" width="7.5703125" style="1" customWidth="1"/>
    <col min="10418" max="10662" width="9.140625" style="1"/>
    <col min="10663" max="10663" width="1.140625" style="1" customWidth="1"/>
    <col min="10664" max="10664" width="20.42578125" style="1" customWidth="1"/>
    <col min="10665" max="10673" width="7.5703125" style="1" customWidth="1"/>
    <col min="10674" max="10918" width="9.140625" style="1"/>
    <col min="10919" max="10919" width="1.140625" style="1" customWidth="1"/>
    <col min="10920" max="10920" width="20.42578125" style="1" customWidth="1"/>
    <col min="10921" max="10929" width="7.5703125" style="1" customWidth="1"/>
    <col min="10930" max="11174" width="9.140625" style="1"/>
    <col min="11175" max="11175" width="1.140625" style="1" customWidth="1"/>
    <col min="11176" max="11176" width="20.42578125" style="1" customWidth="1"/>
    <col min="11177" max="11185" width="7.5703125" style="1" customWidth="1"/>
    <col min="11186" max="11430" width="9.140625" style="1"/>
    <col min="11431" max="11431" width="1.140625" style="1" customWidth="1"/>
    <col min="11432" max="11432" width="20.42578125" style="1" customWidth="1"/>
    <col min="11433" max="11441" width="7.5703125" style="1" customWidth="1"/>
    <col min="11442" max="11686" width="9.140625" style="1"/>
    <col min="11687" max="11687" width="1.140625" style="1" customWidth="1"/>
    <col min="11688" max="11688" width="20.42578125" style="1" customWidth="1"/>
    <col min="11689" max="11697" width="7.5703125" style="1" customWidth="1"/>
    <col min="11698" max="11942" width="9.140625" style="1"/>
    <col min="11943" max="11943" width="1.140625" style="1" customWidth="1"/>
    <col min="11944" max="11944" width="20.42578125" style="1" customWidth="1"/>
    <col min="11945" max="11953" width="7.5703125" style="1" customWidth="1"/>
    <col min="11954" max="12198" width="9.140625" style="1"/>
    <col min="12199" max="12199" width="1.140625" style="1" customWidth="1"/>
    <col min="12200" max="12200" width="20.42578125" style="1" customWidth="1"/>
    <col min="12201" max="12209" width="7.5703125" style="1" customWidth="1"/>
    <col min="12210" max="12454" width="9.140625" style="1"/>
    <col min="12455" max="12455" width="1.140625" style="1" customWidth="1"/>
    <col min="12456" max="12456" width="20.42578125" style="1" customWidth="1"/>
    <col min="12457" max="12465" width="7.5703125" style="1" customWidth="1"/>
    <col min="12466" max="12710" width="9.140625" style="1"/>
    <col min="12711" max="12711" width="1.140625" style="1" customWidth="1"/>
    <col min="12712" max="12712" width="20.42578125" style="1" customWidth="1"/>
    <col min="12713" max="12721" width="7.5703125" style="1" customWidth="1"/>
    <col min="12722" max="12966" width="9.140625" style="1"/>
    <col min="12967" max="12967" width="1.140625" style="1" customWidth="1"/>
    <col min="12968" max="12968" width="20.42578125" style="1" customWidth="1"/>
    <col min="12969" max="12977" width="7.5703125" style="1" customWidth="1"/>
    <col min="12978" max="13222" width="9.140625" style="1"/>
    <col min="13223" max="13223" width="1.140625" style="1" customWidth="1"/>
    <col min="13224" max="13224" width="20.42578125" style="1" customWidth="1"/>
    <col min="13225" max="13233" width="7.5703125" style="1" customWidth="1"/>
    <col min="13234" max="13478" width="9.140625" style="1"/>
    <col min="13479" max="13479" width="1.140625" style="1" customWidth="1"/>
    <col min="13480" max="13480" width="20.42578125" style="1" customWidth="1"/>
    <col min="13481" max="13489" width="7.5703125" style="1" customWidth="1"/>
    <col min="13490" max="13734" width="9.140625" style="1"/>
    <col min="13735" max="13735" width="1.140625" style="1" customWidth="1"/>
    <col min="13736" max="13736" width="20.42578125" style="1" customWidth="1"/>
    <col min="13737" max="13745" width="7.5703125" style="1" customWidth="1"/>
    <col min="13746" max="13990" width="9.140625" style="1"/>
    <col min="13991" max="13991" width="1.140625" style="1" customWidth="1"/>
    <col min="13992" max="13992" width="20.42578125" style="1" customWidth="1"/>
    <col min="13993" max="14001" width="7.5703125" style="1" customWidth="1"/>
    <col min="14002" max="14246" width="9.140625" style="1"/>
    <col min="14247" max="14247" width="1.140625" style="1" customWidth="1"/>
    <col min="14248" max="14248" width="20.42578125" style="1" customWidth="1"/>
    <col min="14249" max="14257" width="7.5703125" style="1" customWidth="1"/>
    <col min="14258" max="14502" width="9.140625" style="1"/>
    <col min="14503" max="14503" width="1.140625" style="1" customWidth="1"/>
    <col min="14504" max="14504" width="20.42578125" style="1" customWidth="1"/>
    <col min="14505" max="14513" width="7.5703125" style="1" customWidth="1"/>
    <col min="14514" max="14758" width="9.140625" style="1"/>
    <col min="14759" max="14759" width="1.140625" style="1" customWidth="1"/>
    <col min="14760" max="14760" width="20.42578125" style="1" customWidth="1"/>
    <col min="14761" max="14769" width="7.5703125" style="1" customWidth="1"/>
    <col min="14770" max="15014" width="9.140625" style="1"/>
    <col min="15015" max="15015" width="1.140625" style="1" customWidth="1"/>
    <col min="15016" max="15016" width="20.42578125" style="1" customWidth="1"/>
    <col min="15017" max="15025" width="7.5703125" style="1" customWidth="1"/>
    <col min="15026" max="15270" width="9.140625" style="1"/>
    <col min="15271" max="15271" width="1.140625" style="1" customWidth="1"/>
    <col min="15272" max="15272" width="20.42578125" style="1" customWidth="1"/>
    <col min="15273" max="15281" width="7.5703125" style="1" customWidth="1"/>
    <col min="15282" max="15526" width="9.140625" style="1"/>
    <col min="15527" max="15527" width="1.140625" style="1" customWidth="1"/>
    <col min="15528" max="15528" width="20.42578125" style="1" customWidth="1"/>
    <col min="15529" max="15537" width="7.5703125" style="1" customWidth="1"/>
    <col min="15538" max="15782" width="9.140625" style="1"/>
    <col min="15783" max="15783" width="1.140625" style="1" customWidth="1"/>
    <col min="15784" max="15784" width="20.42578125" style="1" customWidth="1"/>
    <col min="15785" max="15793" width="7.5703125" style="1" customWidth="1"/>
    <col min="15794" max="16038" width="9.140625" style="1"/>
    <col min="16039" max="16039" width="1.140625" style="1" customWidth="1"/>
    <col min="16040" max="16040" width="20.42578125" style="1" customWidth="1"/>
    <col min="16041" max="16049" width="7.5703125" style="1" customWidth="1"/>
    <col min="16050" max="16339" width="9.140625" style="1"/>
    <col min="16340" max="16384" width="9" style="1" customWidth="1"/>
  </cols>
  <sheetData>
    <row r="1" spans="2:19" ht="7.5" customHeight="1"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2:19" ht="24">
      <c r="B2" s="98" t="s">
        <v>45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2:19" ht="17.25">
      <c r="B3" s="99" t="s">
        <v>8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2:19" ht="30" customHeight="1">
      <c r="B4" s="102" t="s">
        <v>2</v>
      </c>
      <c r="C4" s="102" t="s">
        <v>28</v>
      </c>
      <c r="D4" s="102"/>
      <c r="E4" s="102"/>
      <c r="F4" s="102" t="s">
        <v>29</v>
      </c>
      <c r="G4" s="102"/>
      <c r="H4" s="102"/>
      <c r="I4" s="102" t="s">
        <v>27</v>
      </c>
      <c r="J4" s="102"/>
      <c r="K4" s="102"/>
      <c r="L4" s="102" t="s">
        <v>30</v>
      </c>
      <c r="M4" s="102"/>
      <c r="N4" s="102"/>
    </row>
    <row r="5" spans="2:19" ht="30" customHeight="1">
      <c r="B5" s="102"/>
      <c r="C5" s="48" t="s">
        <v>0</v>
      </c>
      <c r="D5" s="48" t="s">
        <v>22</v>
      </c>
      <c r="E5" s="48" t="s">
        <v>23</v>
      </c>
      <c r="F5" s="48" t="s">
        <v>0</v>
      </c>
      <c r="G5" s="48" t="s">
        <v>22</v>
      </c>
      <c r="H5" s="48" t="s">
        <v>23</v>
      </c>
      <c r="I5" s="48" t="s">
        <v>0</v>
      </c>
      <c r="J5" s="48" t="s">
        <v>22</v>
      </c>
      <c r="K5" s="48" t="s">
        <v>23</v>
      </c>
      <c r="L5" s="48" t="s">
        <v>0</v>
      </c>
      <c r="M5" s="48" t="s">
        <v>22</v>
      </c>
      <c r="N5" s="48" t="s">
        <v>23</v>
      </c>
    </row>
    <row r="6" spans="2:19" ht="30" customHeight="1" thickBot="1">
      <c r="B6" s="53" t="s">
        <v>6</v>
      </c>
      <c r="C6" s="39">
        <v>0</v>
      </c>
      <c r="D6" s="39">
        <v>0</v>
      </c>
      <c r="E6" s="39">
        <v>0</v>
      </c>
      <c r="F6" s="88">
        <v>10</v>
      </c>
      <c r="G6" s="88">
        <v>310</v>
      </c>
      <c r="H6" s="41">
        <f>G6/F6</f>
        <v>31</v>
      </c>
      <c r="I6" s="88">
        <v>480</v>
      </c>
      <c r="J6" s="88">
        <v>25220</v>
      </c>
      <c r="K6" s="41">
        <f>J6/I6</f>
        <v>52.541666666666664</v>
      </c>
      <c r="L6" s="88">
        <f>I6+F6+C6</f>
        <v>490</v>
      </c>
      <c r="M6" s="88">
        <f>J6+G6+D6</f>
        <v>25530</v>
      </c>
      <c r="N6" s="41">
        <f>M6/L6</f>
        <v>52.102040816326529</v>
      </c>
    </row>
    <row r="7" spans="2:19" ht="30" customHeight="1" thickTop="1" thickBot="1">
      <c r="B7" s="52" t="s">
        <v>15</v>
      </c>
      <c r="C7" s="35">
        <v>0</v>
      </c>
      <c r="D7" s="35">
        <v>0</v>
      </c>
      <c r="E7" s="35">
        <v>0</v>
      </c>
      <c r="F7" s="46">
        <v>3520</v>
      </c>
      <c r="G7" s="46">
        <v>88700</v>
      </c>
      <c r="H7" s="36">
        <f t="shared" ref="H7:H14" si="0">G7/F7</f>
        <v>25.198863636363637</v>
      </c>
      <c r="I7" s="46">
        <v>980</v>
      </c>
      <c r="J7" s="46">
        <v>24500</v>
      </c>
      <c r="K7" s="36">
        <f t="shared" ref="K7:K15" si="1">J7/I7</f>
        <v>25</v>
      </c>
      <c r="L7" s="46">
        <f t="shared" ref="L7:L15" si="2">I7+F7+C7</f>
        <v>4500</v>
      </c>
      <c r="M7" s="46">
        <f t="shared" ref="M7:M15" si="3">J7+G7+D7</f>
        <v>113200</v>
      </c>
      <c r="N7" s="36">
        <f t="shared" ref="N7:N15" si="4">M7/L7</f>
        <v>25.155555555555555</v>
      </c>
      <c r="S7" s="47"/>
    </row>
    <row r="8" spans="2:19" ht="30" customHeight="1" thickTop="1" thickBot="1">
      <c r="B8" s="52" t="s">
        <v>14</v>
      </c>
      <c r="C8" s="35">
        <v>0</v>
      </c>
      <c r="D8" s="35">
        <v>0</v>
      </c>
      <c r="E8" s="35">
        <v>0</v>
      </c>
      <c r="F8" s="46">
        <v>2000</v>
      </c>
      <c r="G8" s="46">
        <v>56210</v>
      </c>
      <c r="H8" s="36">
        <f t="shared" si="0"/>
        <v>28.105</v>
      </c>
      <c r="I8" s="46">
        <v>60</v>
      </c>
      <c r="J8" s="46">
        <v>1690</v>
      </c>
      <c r="K8" s="36">
        <f t="shared" si="1"/>
        <v>28.166666666666668</v>
      </c>
      <c r="L8" s="46">
        <f t="shared" si="2"/>
        <v>2060</v>
      </c>
      <c r="M8" s="46">
        <f t="shared" si="3"/>
        <v>57900</v>
      </c>
      <c r="N8" s="36">
        <f>M8/L8</f>
        <v>28.106796116504853</v>
      </c>
    </row>
    <row r="9" spans="2:19" ht="30" customHeight="1" thickTop="1" thickBot="1">
      <c r="B9" s="52" t="s">
        <v>9</v>
      </c>
      <c r="C9" s="35">
        <v>3000</v>
      </c>
      <c r="D9" s="35">
        <v>102000</v>
      </c>
      <c r="E9" s="36">
        <f>D9/C9</f>
        <v>34</v>
      </c>
      <c r="F9" s="46">
        <v>18500</v>
      </c>
      <c r="G9" s="46">
        <v>629000</v>
      </c>
      <c r="H9" s="36">
        <f>G9/F9</f>
        <v>34</v>
      </c>
      <c r="I9" s="46">
        <v>2000</v>
      </c>
      <c r="J9" s="46">
        <v>68000</v>
      </c>
      <c r="K9" s="36">
        <f t="shared" si="1"/>
        <v>34</v>
      </c>
      <c r="L9" s="46">
        <f t="shared" si="2"/>
        <v>23500</v>
      </c>
      <c r="M9" s="46">
        <f t="shared" si="3"/>
        <v>799000</v>
      </c>
      <c r="N9" s="36">
        <f t="shared" si="4"/>
        <v>34</v>
      </c>
    </row>
    <row r="10" spans="2:19" ht="30" customHeight="1" thickTop="1" thickBot="1">
      <c r="B10" s="52" t="s">
        <v>7</v>
      </c>
      <c r="C10" s="35">
        <v>0</v>
      </c>
      <c r="D10" s="35">
        <v>0</v>
      </c>
      <c r="E10" s="35">
        <v>0</v>
      </c>
      <c r="F10" s="46">
        <v>1770</v>
      </c>
      <c r="G10" s="46">
        <v>50000</v>
      </c>
      <c r="H10" s="36">
        <f>G10/F10</f>
        <v>28.248587570621471</v>
      </c>
      <c r="I10" s="46">
        <v>1880</v>
      </c>
      <c r="J10" s="46">
        <v>35000</v>
      </c>
      <c r="K10" s="36">
        <f>J10/I10</f>
        <v>18.617021276595743</v>
      </c>
      <c r="L10" s="46">
        <f>I10+F10+C10</f>
        <v>3650</v>
      </c>
      <c r="M10" s="46">
        <f t="shared" si="3"/>
        <v>85000</v>
      </c>
      <c r="N10" s="36">
        <f t="shared" si="4"/>
        <v>23.287671232876711</v>
      </c>
    </row>
    <row r="11" spans="2:19" ht="30" customHeight="1" thickTop="1" thickBot="1">
      <c r="B11" s="52" t="s">
        <v>3</v>
      </c>
      <c r="C11" s="35">
        <v>0</v>
      </c>
      <c r="D11" s="35">
        <v>0</v>
      </c>
      <c r="E11" s="35">
        <v>0</v>
      </c>
      <c r="F11" s="46">
        <v>1500</v>
      </c>
      <c r="G11" s="46">
        <v>52816</v>
      </c>
      <c r="H11" s="36">
        <f t="shared" si="0"/>
        <v>35.210666666666668</v>
      </c>
      <c r="I11" s="46">
        <v>2500</v>
      </c>
      <c r="J11" s="46">
        <v>90000</v>
      </c>
      <c r="K11" s="36">
        <f t="shared" si="1"/>
        <v>36</v>
      </c>
      <c r="L11" s="46">
        <f t="shared" si="2"/>
        <v>4000</v>
      </c>
      <c r="M11" s="46">
        <f t="shared" si="3"/>
        <v>142816</v>
      </c>
      <c r="N11" s="36">
        <f t="shared" si="4"/>
        <v>35.704000000000001</v>
      </c>
    </row>
    <row r="12" spans="2:19" ht="30" customHeight="1" thickTop="1" thickBot="1">
      <c r="B12" s="52" t="s">
        <v>17</v>
      </c>
      <c r="C12" s="35">
        <v>0</v>
      </c>
      <c r="D12" s="35">
        <v>0</v>
      </c>
      <c r="E12" s="35">
        <v>0</v>
      </c>
      <c r="F12" s="46">
        <v>0</v>
      </c>
      <c r="G12" s="46">
        <v>0</v>
      </c>
      <c r="H12" s="36">
        <v>0</v>
      </c>
      <c r="I12" s="46">
        <v>300</v>
      </c>
      <c r="J12" s="46">
        <v>10950</v>
      </c>
      <c r="K12" s="36">
        <f t="shared" si="1"/>
        <v>36.5</v>
      </c>
      <c r="L12" s="46">
        <f t="shared" si="2"/>
        <v>300</v>
      </c>
      <c r="M12" s="46">
        <f t="shared" si="3"/>
        <v>10950</v>
      </c>
      <c r="N12" s="36">
        <f t="shared" si="4"/>
        <v>36.5</v>
      </c>
    </row>
    <row r="13" spans="2:19" ht="30" customHeight="1" thickTop="1" thickBot="1">
      <c r="B13" s="52" t="s">
        <v>5</v>
      </c>
      <c r="C13" s="35">
        <v>0</v>
      </c>
      <c r="D13" s="35">
        <v>0</v>
      </c>
      <c r="E13" s="35">
        <v>0</v>
      </c>
      <c r="F13" s="46">
        <v>2500</v>
      </c>
      <c r="G13" s="46">
        <v>81000</v>
      </c>
      <c r="H13" s="36">
        <f t="shared" si="0"/>
        <v>32.4</v>
      </c>
      <c r="I13" s="46">
        <v>5500</v>
      </c>
      <c r="J13" s="46">
        <v>95700</v>
      </c>
      <c r="K13" s="36">
        <f t="shared" si="1"/>
        <v>17.399999999999999</v>
      </c>
      <c r="L13" s="46">
        <f t="shared" si="2"/>
        <v>8000</v>
      </c>
      <c r="M13" s="46">
        <f t="shared" si="3"/>
        <v>176700</v>
      </c>
      <c r="N13" s="36">
        <f t="shared" si="4"/>
        <v>22.087499999999999</v>
      </c>
    </row>
    <row r="14" spans="2:19" ht="30" customHeight="1" thickTop="1" thickBot="1">
      <c r="B14" s="52" t="s">
        <v>16</v>
      </c>
      <c r="C14" s="35">
        <v>0</v>
      </c>
      <c r="D14" s="35">
        <v>0</v>
      </c>
      <c r="E14" s="35">
        <v>0</v>
      </c>
      <c r="F14" s="46">
        <v>2800</v>
      </c>
      <c r="G14" s="46">
        <v>110000</v>
      </c>
      <c r="H14" s="36">
        <f t="shared" si="0"/>
        <v>39.285714285714285</v>
      </c>
      <c r="I14" s="46">
        <v>1300</v>
      </c>
      <c r="J14" s="46">
        <v>52000</v>
      </c>
      <c r="K14" s="36">
        <f t="shared" si="1"/>
        <v>40</v>
      </c>
      <c r="L14" s="46">
        <f t="shared" si="2"/>
        <v>4100</v>
      </c>
      <c r="M14" s="46">
        <f t="shared" si="3"/>
        <v>162000</v>
      </c>
      <c r="N14" s="36">
        <f t="shared" si="4"/>
        <v>39.512195121951223</v>
      </c>
    </row>
    <row r="15" spans="2:19" ht="30" customHeight="1" thickTop="1">
      <c r="B15" s="55" t="s">
        <v>21</v>
      </c>
      <c r="C15" s="73">
        <v>0</v>
      </c>
      <c r="D15" s="73">
        <v>0</v>
      </c>
      <c r="E15" s="73">
        <v>0</v>
      </c>
      <c r="F15" s="94">
        <v>0</v>
      </c>
      <c r="G15" s="94">
        <v>0</v>
      </c>
      <c r="H15" s="74">
        <v>0</v>
      </c>
      <c r="I15" s="94">
        <v>2000</v>
      </c>
      <c r="J15" s="94">
        <v>30000</v>
      </c>
      <c r="K15" s="74">
        <f t="shared" si="1"/>
        <v>15</v>
      </c>
      <c r="L15" s="94">
        <f t="shared" si="2"/>
        <v>2000</v>
      </c>
      <c r="M15" s="94">
        <f t="shared" si="3"/>
        <v>30000</v>
      </c>
      <c r="N15" s="74">
        <f t="shared" si="4"/>
        <v>15</v>
      </c>
    </row>
    <row r="16" spans="2:19" ht="30" customHeight="1">
      <c r="B16" s="62" t="s">
        <v>13</v>
      </c>
      <c r="C16" s="97">
        <f>SUM(C6:C15)</f>
        <v>3000</v>
      </c>
      <c r="D16" s="97">
        <f>SUM(D6:D15)</f>
        <v>102000</v>
      </c>
      <c r="E16" s="75">
        <f>D16/C16</f>
        <v>34</v>
      </c>
      <c r="F16" s="97">
        <f>SUM(F6:F15)</f>
        <v>32600</v>
      </c>
      <c r="G16" s="97">
        <f>SUM(G6:G15)</f>
        <v>1068036</v>
      </c>
      <c r="H16" s="75">
        <f>G16/F16</f>
        <v>32.761840490797546</v>
      </c>
      <c r="I16" s="97">
        <f>SUM(I6:I15)</f>
        <v>17000</v>
      </c>
      <c r="J16" s="97">
        <f>SUM(J6:J15)</f>
        <v>433060</v>
      </c>
      <c r="K16" s="75">
        <f>J16/I16</f>
        <v>25.474117647058822</v>
      </c>
      <c r="L16" s="97">
        <f>SUM(L6:L15)</f>
        <v>52600</v>
      </c>
      <c r="M16" s="97">
        <f>SUM(M6:M15)</f>
        <v>1603096</v>
      </c>
      <c r="N16" s="75">
        <f>M16/L16</f>
        <v>30.477110266159695</v>
      </c>
    </row>
    <row r="17" spans="2:14" ht="19.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</sheetData>
  <mergeCells count="8">
    <mergeCell ref="B1:N1"/>
    <mergeCell ref="B2:N2"/>
    <mergeCell ref="B3:N3"/>
    <mergeCell ref="B4:B5"/>
    <mergeCell ref="F4:H4"/>
    <mergeCell ref="I4:K4"/>
    <mergeCell ref="L4:N4"/>
    <mergeCell ref="C4:E4"/>
  </mergeCells>
  <pageMargins left="0.70866141732283472" right="0.70866141732283472" top="0.74803149606299213" bottom="0.74803149606299213" header="0.31496062992125984" footer="0.31496062992125984"/>
  <pageSetup scale="9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سیب زمینی</vt:lpstr>
      <vt:lpstr>پیاز</vt:lpstr>
      <vt:lpstr>گوجه فرنگی </vt:lpstr>
      <vt:lpstr>خیار</vt:lpstr>
      <vt:lpstr>هندوانه</vt:lpstr>
      <vt:lpstr>خربزه</vt:lpstr>
      <vt:lpstr>سایر جالیز</vt:lpstr>
      <vt:lpstr>هویج</vt:lpstr>
      <vt:lpstr>سیر تر</vt:lpstr>
      <vt:lpstr>سیر خشک</vt:lpstr>
      <vt:lpstr>بادمجان</vt:lpstr>
      <vt:lpstr>سایر سبزی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2026-08-24T08:43:32Z</dcterms:modified>
</cp:coreProperties>
</file>